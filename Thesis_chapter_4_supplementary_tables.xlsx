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oe-my.sharepoint.com/personal/s2456042_ed_ac_uk/Documents/Sam_PhD_thesis/"/>
    </mc:Choice>
  </mc:AlternateContent>
  <xr:revisionPtr revIDLastSave="1904" documentId="8_{3A9109F2-0C7A-46B2-9A50-59619FE31F0B}" xr6:coauthVersionLast="47" xr6:coauthVersionMax="47" xr10:uidLastSave="{58EA4CCB-F4D9-444F-981B-8B7986092654}"/>
  <bookViews>
    <workbookView xWindow="-96" yWindow="-96" windowWidth="20928" windowHeight="12432" firstSheet="2" activeTab="3" xr2:uid="{F2ED5D8E-F518-4D30-B886-BEB5E67A3353}"/>
  </bookViews>
  <sheets>
    <sheet name="Table of contents" sheetId="1" r:id="rId1"/>
    <sheet name="ST4.1_Cohort characteristics" sheetId="2" r:id="rId2"/>
    <sheet name="ST4.2_4.3_BMA dist+multi-site" sheetId="3" r:id="rId3"/>
    <sheet name="ST4.4_Missing BMD data analysis" sheetId="15" r:id="rId4"/>
    <sheet name="ST4.5_4.6_T2D logs" sheetId="4" r:id="rId5"/>
    <sheet name="ST4.7_T2D logs BMD imp v no imp" sheetId="8" r:id="rId6"/>
    <sheet name="ST4.8_BMFF multi-site lin.regs." sheetId="11" r:id="rId7"/>
    <sheet name="ST4.9_4.10_T2D Cox regressions" sheetId="5" r:id="rId8"/>
    <sheet name="ST4.11_4.12_T2D WHR Cox regs." sheetId="6" r:id="rId9"/>
    <sheet name="ST4.13_T2D WHR Cox model comp." sheetId="7"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7" i="8" l="1"/>
</calcChain>
</file>

<file path=xl/sharedStrings.xml><?xml version="1.0" encoding="utf-8"?>
<sst xmlns="http://schemas.openxmlformats.org/spreadsheetml/2006/main" count="3633" uniqueCount="1618">
  <si>
    <t>Sheets (title)</t>
  </si>
  <si>
    <t>Supplementary table number</t>
  </si>
  <si>
    <t>Description</t>
  </si>
  <si>
    <t>Summary statistics and variance inflation factor values from logistic regressions between prevalent type 2 diabetes and each multi-site measurement/regional BMFF</t>
  </si>
  <si>
    <t>Comparing summary statistics between model 2 adjusted type 2 diabetes logistic regressions using complete-case and imputed BMD data</t>
  </si>
  <si>
    <t>Multivariate linear regression summary statistics between regional BMFF and PC2 and various anthropometric and body composition measurements</t>
  </si>
  <si>
    <t>Multivariate Cox regression summary statistics from tertile and rank-normalised spine BMFF and PC2 models</t>
  </si>
  <si>
    <t>Multivariate Cox regression summary statistics from tertile and rank-normalised spine BMFF, PC2 and WHR models</t>
  </si>
  <si>
    <t>Model performance comparisons between WHR, WHR+spine BMFF and WHR+PC2 multivariate Cox models</t>
  </si>
  <si>
    <t>Trait</t>
  </si>
  <si>
    <t>Both (48,411)</t>
  </si>
  <si>
    <t>Males (23,454)</t>
  </si>
  <si>
    <t>Females (24,957	)</t>
  </si>
  <si>
    <t>p(sex)</t>
  </si>
  <si>
    <t>Spine BMFF (%)</t>
  </si>
  <si>
    <t>51.79 ± 11.01</t>
  </si>
  <si>
    <t>49.57 ± 10.84</t>
  </si>
  <si>
    <t>53.77 ± 10.15</t>
  </si>
  <si>
    <t>&lt;2e-16</t>
  </si>
  <si>
    <t>Age (years)</t>
  </si>
  <si>
    <t>65.00 ± 12.00</t>
  </si>
  <si>
    <t>66.00 ± 12.00</t>
  </si>
  <si>
    <t>64.00 ± 12.00</t>
  </si>
  <si>
    <t>25.96 ± 5.34</t>
  </si>
  <si>
    <t>26.53 ± 4.75</t>
  </si>
  <si>
    <t>25.31 ± 5.80</t>
  </si>
  <si>
    <t>Waist-hip ratio (WHR)</t>
  </si>
  <si>
    <t>0.88 ± 0.13</t>
  </si>
  <si>
    <t>0.94 ± 0.08</t>
  </si>
  <si>
    <t>0.82 ± 0.10</t>
  </si>
  <si>
    <t>1.17 ± 1.02</t>
  </si>
  <si>
    <t>1.52 ± 1.01</t>
  </si>
  <si>
    <t>0.89 ± 0.77</t>
  </si>
  <si>
    <t>2.16 ± 1.46</t>
  </si>
  <si>
    <t>1.72 ± 0.86</t>
  </si>
  <si>
    <t>2.78 ± 1.59</t>
  </si>
  <si>
    <t>Total-thigh muscle-fat infiltration (TTMFI, %)</t>
  </si>
  <si>
    <t>8.98 ± 2.69</t>
  </si>
  <si>
    <t>8.39 ± 2.54</t>
  </si>
  <si>
    <t>9.49 ± 2.65</t>
  </si>
  <si>
    <t>3.41 ± 0.89</t>
  </si>
  <si>
    <t>3.88 ± 0.61</t>
  </si>
  <si>
    <t>3.02 ± 0.48</t>
  </si>
  <si>
    <t>Spine BMD (g/cm^2)</t>
  </si>
  <si>
    <t>1.09 ± 0.26</t>
  </si>
  <si>
    <t>1.19 ± 0.21</t>
  </si>
  <si>
    <t>0.99 ± 0.20</t>
  </si>
  <si>
    <t>Prevalent T2D, n</t>
  </si>
  <si>
    <t>Admission-incident T2D, n</t>
  </si>
  <si>
    <t>Imaging-incident T2D, n</t>
  </si>
  <si>
    <t>Both (45,343)</t>
  </si>
  <si>
    <t>Males (21,121)</t>
  </si>
  <si>
    <t>Females (24,222	)</t>
  </si>
  <si>
    <t>91.81 ± 2.18</t>
  </si>
  <si>
    <t>92.46 ± 1.64</t>
  </si>
  <si>
    <t>91.19 ± 2.33</t>
  </si>
  <si>
    <t>65.00 ± 12.00</t>
  </si>
  <si>
    <t>66.00 ± 11.00</t>
  </si>
  <si>
    <t>64.00 ± 12.00</t>
  </si>
  <si>
    <t>26.03 ± 5.28</t>
  </si>
  <si>
    <t>26.68 ± 4.61</t>
  </si>
  <si>
    <t>25.31 ± 5.80</t>
  </si>
  <si>
    <t>0.88 ± 0.13</t>
  </si>
  <si>
    <t>0.94 ± 0.08</t>
  </si>
  <si>
    <t>0.82 ± 0.10</t>
  </si>
  <si>
    <t>1.18 ± 1.00</t>
  </si>
  <si>
    <t>1.55 ± 0.97</t>
  </si>
  <si>
    <t>0.89 ± 0.77</t>
  </si>
  <si>
    <t>2.19 ± 1.45</t>
  </si>
  <si>
    <t>1.75 ± 0.82</t>
  </si>
  <si>
    <t>2.78 ± 1.59</t>
  </si>
  <si>
    <t>9.02 ± 2.66</t>
  </si>
  <si>
    <t>8.46 ± 2.50</t>
  </si>
  <si>
    <t>9.50 ± 2.64</t>
  </si>
  <si>
    <t>3.38 ± 0.88</t>
  </si>
  <si>
    <t>3.88 ± 0.61</t>
  </si>
  <si>
    <t>3.02 ± 0.48</t>
  </si>
  <si>
    <t>0.92 ± 0.19</t>
  </si>
  <si>
    <t>0.97 ± 0.18</t>
  </si>
  <si>
    <t>0.88 ± 0.17</t>
  </si>
  <si>
    <t>Both (45,251)</t>
  </si>
  <si>
    <t>Males (20,542)</t>
  </si>
  <si>
    <t>Females (24,709)</t>
  </si>
  <si>
    <t>91.44 ± 3.90</t>
  </si>
  <si>
    <t>92.28 ± 2.94</t>
  </si>
  <si>
    <t>90.56 ± 4.42</t>
  </si>
  <si>
    <t>66.00 ± 12.00</t>
  </si>
  <si>
    <t>25.84 ± 5.29</t>
  </si>
  <si>
    <t>26.42 ± 4.63</t>
  </si>
  <si>
    <t>25.23 ± 5.79</t>
  </si>
  <si>
    <t>1.13 ± 0.99</t>
  </si>
  <si>
    <t>1.50 ± 1.00</t>
  </si>
  <si>
    <t>0.88 ± 0.76</t>
  </si>
  <si>
    <t>2.17 ± 1.47</t>
  </si>
  <si>
    <t>1.71 ± 0.84</t>
  </si>
  <si>
    <t>2.76 ± 1.59</t>
  </si>
  <si>
    <t>9.00 ± 2.69</t>
  </si>
  <si>
    <t>8.39 ± 2.52</t>
  </si>
  <si>
    <t>9.48 ± 2.64</t>
  </si>
  <si>
    <t>3.36 ± 0.88</t>
  </si>
  <si>
    <t>3.87 ± 0.61</t>
  </si>
  <si>
    <t>0.82 ± 0.23</t>
  </si>
  <si>
    <t>0.73 ± 0.17</t>
  </si>
  <si>
    <t>Both (44,086)</t>
  </si>
  <si>
    <t>Males (19,805)</t>
  </si>
  <si>
    <t>Females (24,281	)</t>
  </si>
  <si>
    <t>82.68 ± 6.03</t>
  </si>
  <si>
    <t>84.00 ± 5.61</t>
  </si>
  <si>
    <t>81.71 ± 5.89</t>
  </si>
  <si>
    <t>26.01 ± 5.33</t>
  </si>
  <si>
    <t>26.73 ± 4.67</t>
  </si>
  <si>
    <t>25.29 ± 5.75</t>
  </si>
  <si>
    <t>1.16 ± 1.01</t>
  </si>
  <si>
    <t>1.55 ± 1.00</t>
  </si>
  <si>
    <t>2.22 ± 1.46</t>
  </si>
  <si>
    <t>1.77 ± 0.85</t>
  </si>
  <si>
    <t>2.77 ± 1.58</t>
  </si>
  <si>
    <t>9.04 ± 2.65</t>
  </si>
  <si>
    <t>8.49 ± 2.51</t>
  </si>
  <si>
    <t>9.47 ± 2.63</t>
  </si>
  <si>
    <t>3.88 ± 0.60</t>
  </si>
  <si>
    <t>1.16 ± 0.25</t>
  </si>
  <si>
    <t>1.23 ± 0.23</t>
  </si>
  <si>
    <t>1.10 ± 0.23</t>
  </si>
  <si>
    <t>Sex</t>
  </si>
  <si>
    <t>Multi-site measurement</t>
  </si>
  <si>
    <t>Spine BMFF</t>
  </si>
  <si>
    <t>Femoral head BMFF</t>
  </si>
  <si>
    <t>Total hip BMFF</t>
  </si>
  <si>
    <t>Diaphysis BMFF</t>
  </si>
  <si>
    <t>Beta (95% CI)</t>
  </si>
  <si>
    <r>
      <t>R</t>
    </r>
    <r>
      <rPr>
        <b/>
        <vertAlign val="superscript"/>
        <sz val="11"/>
        <color theme="1"/>
        <rFont val="Aptos Narrow"/>
        <family val="2"/>
        <scheme val="minor"/>
      </rPr>
      <t>2</t>
    </r>
  </si>
  <si>
    <t>P</t>
  </si>
  <si>
    <t xml:space="preserve">Both </t>
  </si>
  <si>
    <t>Multi-site 1</t>
  </si>
  <si>
    <t>0.128 (0.118, 0.138)</t>
  </si>
  <si>
    <t>0.765 (0.758, 0.771)</t>
  </si>
  <si>
    <t>0.847 (0.841, 0.852)</t>
  </si>
  <si>
    <t>0.883 (0.878, 0.888)</t>
  </si>
  <si>
    <t>PC1</t>
  </si>
  <si>
    <t>-0.476 (-0.485, -0.468)</t>
  </si>
  <si>
    <t>-0.803 (-0.809, -0.797)</t>
  </si>
  <si>
    <t>-0.877 (-0.881, -0.872)</t>
  </si>
  <si>
    <t>-0.801 (-0.807, -0.795)</t>
  </si>
  <si>
    <t>PC2</t>
  </si>
  <si>
    <t>-0.224 (-0.233, -0.214)</t>
  </si>
  <si>
    <t>-0.152 (-0.162, -0.143)</t>
  </si>
  <si>
    <t>-0.153 (-0.163, -0.144)</t>
  </si>
  <si>
    <t>Spine:Femoral BMFF ratio</t>
  </si>
  <si>
    <t>0.976 (0.973, 0.978)</t>
  </si>
  <si>
    <t>0.019 (0.009, 0.028)</t>
  </si>
  <si>
    <t>0.078 (0.069, 0.088)</t>
  </si>
  <si>
    <t>0.027 (0.018, 0.037)</t>
  </si>
  <si>
    <t>Males</t>
  </si>
  <si>
    <t>0.136 (0.121, 0.151)</t>
  </si>
  <si>
    <t>0.669 (0.657, 0.68)</t>
  </si>
  <si>
    <t>0.794 (0.785, 0.804)</t>
  </si>
  <si>
    <t>0.845 (0.839, 0.852)</t>
  </si>
  <si>
    <t>-0.534 (-0.546, -0.522)</t>
  </si>
  <si>
    <t>-0.724 (-0.734, -0.713)</t>
  </si>
  <si>
    <t>-0.816 (-0.825, -0.808)</t>
  </si>
  <si>
    <t>-0.739 (-0.747, -0.73)</t>
  </si>
  <si>
    <t>0.902 (0.896, 0.907)</t>
  </si>
  <si>
    <t>-0.092 (-0.107, -0.077)</t>
  </si>
  <si>
    <t>-0.034 (-0.049, -0.019)</t>
  </si>
  <si>
    <t>-0.039 (-0.053, -0.025)</t>
  </si>
  <si>
    <t>0.967 (0.964, 0.969)</t>
  </si>
  <si>
    <t>0.094 (0.079, 0.109)</t>
  </si>
  <si>
    <t>0.135 (0.12, 0.149)</t>
  </si>
  <si>
    <t>0.09 (0.076, 0.104)</t>
  </si>
  <si>
    <t>Females</t>
  </si>
  <si>
    <t>0.291 (0.28, 0.302)</t>
  </si>
  <si>
    <t>0.785 (0.776, 0.793)</t>
  </si>
  <si>
    <t>0.808 (0.802, 0.814)</t>
  </si>
  <si>
    <t>0.829 (0.823, 0.836)</t>
  </si>
  <si>
    <t>-0.59 (-0.6, -0.58)</t>
  </si>
  <si>
    <t>-0.933 (-0.941, -0.925)</t>
  </si>
  <si>
    <t>-0.92 (-0.926, -0.914)</t>
  </si>
  <si>
    <t>0.792 (0.786, 0.798)</t>
  </si>
  <si>
    <t>-0.046 (-0.06, -0.033)</t>
  </si>
  <si>
    <t>-0.027 (-0.04, -0.015)</t>
  </si>
  <si>
    <t>-0.069 (-0.081, -0.056)</t>
  </si>
  <si>
    <t>0.949 (0.946, 0.952)</t>
  </si>
  <si>
    <t>0.259 (0.245, 0.272)</t>
  </si>
  <si>
    <t>0.24 (0.228, 0.253)</t>
  </si>
  <si>
    <t>0.136 (0.122, 0.149)</t>
  </si>
  <si>
    <r>
      <t xml:space="preserve">BMFF distribution groups (mean </t>
    </r>
    <r>
      <rPr>
        <b/>
        <sz val="11"/>
        <color theme="1"/>
        <rFont val="Aptos Narrow"/>
        <family val="2"/>
      </rPr>
      <t>±</t>
    </r>
    <r>
      <rPr>
        <b/>
        <sz val="11"/>
        <color theme="1"/>
        <rFont val="Aptos Narrow"/>
        <family val="2"/>
        <scheme val="minor"/>
      </rPr>
      <t xml:space="preserve"> sd)</t>
    </r>
  </si>
  <si>
    <t>ANOVA results</t>
  </si>
  <si>
    <t>a)</t>
  </si>
  <si>
    <t>b)</t>
  </si>
  <si>
    <t>c)</t>
  </si>
  <si>
    <t>d)</t>
  </si>
  <si>
    <r>
      <t>Omega</t>
    </r>
    <r>
      <rPr>
        <b/>
        <vertAlign val="superscript"/>
        <sz val="11"/>
        <color theme="1"/>
        <rFont val="Aptos Narrow"/>
        <family val="2"/>
        <scheme val="minor"/>
      </rPr>
      <t>2</t>
    </r>
  </si>
  <si>
    <t>F-statistic</t>
  </si>
  <si>
    <t>-0.21 ± 0.664</t>
  </si>
  <si>
    <t>-0.014 ± 0.068</t>
  </si>
  <si>
    <t>0.033 ± 0.044</t>
  </si>
  <si>
    <t>0.035 ± 0.03</t>
  </si>
  <si>
    <t>3.953 ± 1.784</t>
  </si>
  <si>
    <t>0.705 ± 0.859</t>
  </si>
  <si>
    <t>-0.867 ± 0.399</t>
  </si>
  <si>
    <t>-2.149 ± 0.317</t>
  </si>
  <si>
    <t>-0.423 ± 0.632</t>
  </si>
  <si>
    <t>1.665 ± 0.406</t>
  </si>
  <si>
    <t>-1.834 ± 0.446</t>
  </si>
  <si>
    <t>0.715 ± 0.349</t>
  </si>
  <si>
    <t>0.484 ± 0.057</t>
  </si>
  <si>
    <t>0.73 ± 0.035</t>
  </si>
  <si>
    <t>0.439 ± 0.041</t>
  </si>
  <si>
    <t>0.675 ± 0.032</t>
  </si>
  <si>
    <t>-0.166 ± 0.768</t>
  </si>
  <si>
    <t>-0.011 ± 0.073</t>
  </si>
  <si>
    <t>0.035 ± 0.045</t>
  </si>
  <si>
    <t>0.04 ± 0.034</t>
  </si>
  <si>
    <t>3.52 ± 1.654</t>
  </si>
  <si>
    <t>0.476 ± 0.809</t>
  </si>
  <si>
    <t>-0.884 ± 0.4</t>
  </si>
  <si>
    <t>-2.198 ± 0.323</t>
  </si>
  <si>
    <t>-0.687 ± 0.61</t>
  </si>
  <si>
    <t>1.588 ± 0.57</t>
  </si>
  <si>
    <t>-1.849 ± 0.444</t>
  </si>
  <si>
    <t>0.659 ± 0.351</t>
  </si>
  <si>
    <t>0.471 ± 0.063</t>
  </si>
  <si>
    <t>0.73 ± 0.051</t>
  </si>
  <si>
    <t>0.438 ± 0.041</t>
  </si>
  <si>
    <t>0.672 ± 0.032</t>
  </si>
  <si>
    <t>-0.232 ± 0.629</t>
  </si>
  <si>
    <t>0.02 ± 0.024</t>
  </si>
  <si>
    <t>0.032 ± 0.021</t>
  </si>
  <si>
    <t>4.093 ± 1.794</t>
  </si>
  <si>
    <t>0.728 ± 0.862</t>
  </si>
  <si>
    <t>-0.635 ± 0.337</t>
  </si>
  <si>
    <t>-2.093 ± 0.294</t>
  </si>
  <si>
    <t>-0.373 ± 0.614</t>
  </si>
  <si>
    <t>1.669 ± 0.385</t>
  </si>
  <si>
    <t>-1.661 ± 0.462</t>
  </si>
  <si>
    <t>0.782 ± 0.339</t>
  </si>
  <si>
    <t>0.487 ± 0.055</t>
  </si>
  <si>
    <t>0.731 ± 0.032</t>
  </si>
  <si>
    <t>0.453 ± 0.042</t>
  </si>
  <si>
    <t>0.68 ± 0.031</t>
  </si>
  <si>
    <t xml:space="preserve">Missing values </t>
  </si>
  <si>
    <r>
      <rPr>
        <b/>
        <i/>
        <sz val="11"/>
        <color rgb="FF000000"/>
        <rFont val="Aptos Narrow"/>
        <family val="2"/>
        <scheme val="minor"/>
      </rPr>
      <t>n</t>
    </r>
    <r>
      <rPr>
        <b/>
        <sz val="11"/>
        <color rgb="FF000000"/>
        <rFont val="Aptos Narrow"/>
        <family val="2"/>
        <scheme val="minor"/>
      </rPr>
      <t xml:space="preserve"> (missing)</t>
    </r>
  </si>
  <si>
    <t>Outcomes</t>
  </si>
  <si>
    <t>p</t>
  </si>
  <si>
    <t xml:space="preserve">Little’s test p </t>
  </si>
  <si>
    <t>48411 (6830)</t>
  </si>
  <si>
    <t>&lt;2E-16</t>
  </si>
  <si>
    <t>Femoral neck BMD (g/cm^2)</t>
  </si>
  <si>
    <t>45343 (6318)</t>
  </si>
  <si>
    <t xml:space="preserve"> Femoral head BMFF</t>
  </si>
  <si>
    <t>Femoral trochanter BMD (g/cm^2)</t>
  </si>
  <si>
    <t>45251 (6205)</t>
  </si>
  <si>
    <t>Femoral shaft BMD (g/cm^2)</t>
  </si>
  <si>
    <t>44086 (6097)</t>
  </si>
  <si>
    <t>Whole-body BMD (g/cm^2)</t>
  </si>
  <si>
    <t>40363 (5493)</t>
  </si>
  <si>
    <t>Spine:Femoral ratio</t>
  </si>
  <si>
    <t>Measurement</t>
  </si>
  <si>
    <t>n (case/control)</t>
  </si>
  <si>
    <t>Model 1</t>
  </si>
  <si>
    <t>Model 2</t>
  </si>
  <si>
    <t>Model 3</t>
  </si>
  <si>
    <t>OR (95% CI)</t>
  </si>
  <si>
    <t>40363 (2084/38279)</t>
  </si>
  <si>
    <t>Both</t>
  </si>
  <si>
    <t>0.686 (0.652, 0.721)</t>
  </si>
  <si>
    <t>0.681 (0.646, 0.718)</t>
  </si>
  <si>
    <t>0.714 (0.676, 0.755)</t>
  </si>
  <si>
    <t>17300 (1283/16017)</t>
  </si>
  <si>
    <t>M</t>
  </si>
  <si>
    <t>0.725 (0.682, 0.77)</t>
  </si>
  <si>
    <t>0.706 (0.662, 0.752)</t>
  </si>
  <si>
    <t>0.742 (0.695, 0.792)</t>
  </si>
  <si>
    <t>23063 (801/22262)</t>
  </si>
  <si>
    <t>F</t>
  </si>
  <si>
    <t>0.596 (0.544, 0.653)</t>
  </si>
  <si>
    <t>0.618 (0.561, 0.68)</t>
  </si>
  <si>
    <t>0.641 (0.58, 0.708)</t>
  </si>
  <si>
    <t>1.194 (1.137, 1.255)</t>
  </si>
  <si>
    <t>1.183 (1.123, 1.247)</t>
  </si>
  <si>
    <t>1.184 (1.122, 1.249)</t>
  </si>
  <si>
    <t>1.122 (1.054, 1.193)</t>
  </si>
  <si>
    <t>1.137 (1.066, 1.214)</t>
  </si>
  <si>
    <t>1.136 (1.063, 1.213)</t>
  </si>
  <si>
    <t>1.355 (1.245, 1.474)</t>
  </si>
  <si>
    <t>1.285 (1.175, 1.405)</t>
  </si>
  <si>
    <t>1.299 (1.186, 1.423)</t>
  </si>
  <si>
    <t>1.922 (1.825, 2.023)</t>
  </si>
  <si>
    <t>1.929 (1.833, 2.032)</t>
  </si>
  <si>
    <t>1.72 (1.631, 1.815)</t>
  </si>
  <si>
    <t>1.803 (1.691, 1.924)</t>
  </si>
  <si>
    <t>1.807 (1.694, 1.928)</t>
  </si>
  <si>
    <t>1.614 (1.509, 1.726)</t>
  </si>
  <si>
    <t>2.16 (1.984, 2.354)</t>
  </si>
  <si>
    <t>2.16 (1.984, 2.353)</t>
  </si>
  <si>
    <t>1.883 (1.724, 2.057)</t>
  </si>
  <si>
    <t xml:space="preserve">Spine:Femoral BMFF ratio </t>
  </si>
  <si>
    <t>1.763 (1.676, 1.855)</t>
  </si>
  <si>
    <t>1.792 (1.703, 1.886)</t>
  </si>
  <si>
    <t>1.59 (1.508, 1.676)</t>
  </si>
  <si>
    <t>1.694 (1.589, 1.806)</t>
  </si>
  <si>
    <t>1.705 (1.599, 1.819)</t>
  </si>
  <si>
    <t>1.521 (1.423, 1.627)</t>
  </si>
  <si>
    <t>1.896 (1.745, 2.061)</t>
  </si>
  <si>
    <t>1.949 (1.794, 2.119)</t>
  </si>
  <si>
    <t>1.677 (1.539, 1.829)</t>
  </si>
  <si>
    <t>48411 (2598/45813)</t>
  </si>
  <si>
    <t>1.567 (1.498, 1.638)</t>
  </si>
  <si>
    <t>1.609 (1.538, 1.684)</t>
  </si>
  <si>
    <t>1.438 (1.372, 1.507)</t>
  </si>
  <si>
    <t>23454 (1703/21751)</t>
  </si>
  <si>
    <t>1.571 (1.489, 1.659)</t>
  </si>
  <si>
    <t>1.601 (1.516, 1.691)</t>
  </si>
  <si>
    <t>24957 (895/24062)</t>
  </si>
  <si>
    <t>1.564 (1.445, 1.694)</t>
  </si>
  <si>
    <t>1.637 (1.511, 1.774)</t>
  </si>
  <si>
    <t>1.411 (1.299, 1.532)</t>
  </si>
  <si>
    <t>45343 (2455/42888)</t>
  </si>
  <si>
    <t>0.769 (0.736, 0.805)</t>
  </si>
  <si>
    <t>0.778 (0.743, 0.815)</t>
  </si>
  <si>
    <t>0.775 (0.739, 0.812)</t>
  </si>
  <si>
    <t>21121 (1584/19537)</t>
  </si>
  <si>
    <t>0.797 (0.756, 0.84)</t>
  </si>
  <si>
    <t>0.798 (0.756, 0.842)</t>
  </si>
  <si>
    <t>0.802 (0.759, 0.847)</t>
  </si>
  <si>
    <t>24222 (871/23351)</t>
  </si>
  <si>
    <t>0.687 (0.629, 0.751)</t>
  </si>
  <si>
    <t>0.713 (0.651, 0.782)</t>
  </si>
  <si>
    <t>0.688 (0.627, 0.755)</t>
  </si>
  <si>
    <t>45251 (2342/42909)</t>
  </si>
  <si>
    <t>0.735 (0.701, 0.77)</t>
  </si>
  <si>
    <t>0.748 (0.713, 0.785)</t>
  </si>
  <si>
    <t>0.764 (0.728, 0.803)</t>
  </si>
  <si>
    <t>20542 (1471/19071)</t>
  </si>
  <si>
    <t>0.775 (0.732, 0.821)</t>
  </si>
  <si>
    <t>0.781 (0.737, 0.828)</t>
  </si>
  <si>
    <t>0.801 (0.754, 0.85)</t>
  </si>
  <si>
    <t>24709 (871/23838)</t>
  </si>
  <si>
    <t>0.65 (0.598, 0.706)</t>
  </si>
  <si>
    <t>0.677 (0.622, 0.737)</t>
  </si>
  <si>
    <t>0.693 (0.636, 0.756)</t>
  </si>
  <si>
    <t>44086 (2307/41779)</t>
  </si>
  <si>
    <t>0.824 (0.789, 0.862)</t>
  </si>
  <si>
    <t>0.863 (0.824, 0.904)</t>
  </si>
  <si>
    <t>0.884 (0.843, 0.927)</t>
  </si>
  <si>
    <t>19805 (1461/18344)</t>
  </si>
  <si>
    <t>0.858 (0.813, 0.905)</t>
  </si>
  <si>
    <t>0.89 (0.842, 0.941)</t>
  </si>
  <si>
    <t>0.911 (0.861, 0.965)</t>
  </si>
  <si>
    <t>24281 (846/23435)</t>
  </si>
  <si>
    <t>0.748 (0.689, 0.811)</t>
  </si>
  <si>
    <t>0.798 (0.733, 0.868)</t>
  </si>
  <si>
    <t>0.813 (0.746, 0.887)</t>
  </si>
  <si>
    <t>Age</t>
  </si>
  <si>
    <t>BMD</t>
  </si>
  <si>
    <t>BC_PC1</t>
  </si>
  <si>
    <t>BC_PC2</t>
  </si>
  <si>
    <t>BC_PC3</t>
  </si>
  <si>
    <t>BC_PC4</t>
  </si>
  <si>
    <t>BC_PC5</t>
  </si>
  <si>
    <t>TTFFMVi</t>
  </si>
  <si>
    <t>-</t>
  </si>
  <si>
    <t>Model 2 (imputed BMD)</t>
  </si>
  <si>
    <t>Model 2 (complete-case analysis BMD)</t>
  </si>
  <si>
    <t>Difference in OR between imputed and complete-case BMD regressions</t>
  </si>
  <si>
    <t>34870 (1804/33066)</t>
  </si>
  <si>
    <t>0.699 (0.659, 0.74)</t>
  </si>
  <si>
    <t>15045 (1122/13923)</t>
  </si>
  <si>
    <t>0.712 (0.665, 0.763)</t>
  </si>
  <si>
    <t>0.618 (0.561, 0.680)</t>
  </si>
  <si>
    <t>19825 (682/19143)</t>
  </si>
  <si>
    <t>0.660 (0.593, 0.734)</t>
  </si>
  <si>
    <t>1.147 (1.082, 1.215)</t>
  </si>
  <si>
    <t>1.129 (1.051, 1.212)</t>
  </si>
  <si>
    <t>1.190 (1.078, 1.313)</t>
  </si>
  <si>
    <t>1.930 (1.826, 2.041)</t>
  </si>
  <si>
    <t>1.803 (1.682, 1.934)</t>
  </si>
  <si>
    <t>2.160 (1.984, 2.353)</t>
  </si>
  <si>
    <t>2.165 (1.974, 2.376)</t>
  </si>
  <si>
    <t>1.806 (1.709, 1.908)</t>
  </si>
  <si>
    <t>1.703 (1.589, 1.826)</t>
  </si>
  <si>
    <t>1.989 (1.818, 2.178)</t>
  </si>
  <si>
    <t>41581 (2230/39351)</t>
  </si>
  <si>
    <t>1.622 (1.545, 1.703)</t>
  </si>
  <si>
    <t>20173 (1475/18698)</t>
  </si>
  <si>
    <t>1.584 (1.493, 1.680)</t>
  </si>
  <si>
    <t>21408 (755/20653)</t>
  </si>
  <si>
    <t>1.715 (1.572, 1.872)</t>
  </si>
  <si>
    <t>39025 (2119/36906)</t>
  </si>
  <si>
    <t>0.806 (0.766, 0.849)</t>
  </si>
  <si>
    <t>18263 (1383/16880)</t>
  </si>
  <si>
    <t>0.817 (0.769, 0.867)</t>
  </si>
  <si>
    <t>20762 (736/20026)</t>
  </si>
  <si>
    <t>0.765 (0.691, 0.847)</t>
  </si>
  <si>
    <t>39046 (2030/37016)</t>
  </si>
  <si>
    <t>0.766 (0.727, 0.807)</t>
  </si>
  <si>
    <t>17817 (1291/16526)</t>
  </si>
  <si>
    <t>0.791 (0.743, 0.842)</t>
  </si>
  <si>
    <t>21229 (739/20490)</t>
  </si>
  <si>
    <t>0.709 (0.646, 0.778)</t>
  </si>
  <si>
    <t>37989 (1998/35991)</t>
  </si>
  <si>
    <t>0.887 (0.843, 0.933)</t>
  </si>
  <si>
    <t>0.890 (0.842, 0.941)</t>
  </si>
  <si>
    <t>17206 (1279/15927)</t>
  </si>
  <si>
    <t>0.905 (0.852, 0.962)</t>
  </si>
  <si>
    <t>20783 (719/20064)</t>
  </si>
  <si>
    <t>0.838 (0.764, 0.919)</t>
  </si>
  <si>
    <t>Median OR difference:</t>
  </si>
  <si>
    <t>Outcome</t>
  </si>
  <si>
    <t>n</t>
  </si>
  <si>
    <r>
      <t>BMI (kg/m</t>
    </r>
    <r>
      <rPr>
        <vertAlign val="superscript"/>
        <sz val="11"/>
        <color theme="1"/>
        <rFont val="Aptos Narrow"/>
        <family val="2"/>
        <scheme val="minor"/>
      </rPr>
      <t>2</t>
    </r>
    <r>
      <rPr>
        <sz val="11"/>
        <color theme="1"/>
        <rFont val="Aptos Narrow"/>
        <family val="2"/>
        <scheme val="minor"/>
      </rPr>
      <t>)</t>
    </r>
  </si>
  <si>
    <t>-0.059 (-0.114, -0.003)</t>
  </si>
  <si>
    <t>0.004 (-0.009, 0.017)</t>
  </si>
  <si>
    <t>0.344 (0.293, 0.395)</t>
  </si>
  <si>
    <t>0.1 (0.088, 0.112)</t>
  </si>
  <si>
    <t>Female</t>
  </si>
  <si>
    <t>-0.1 (-0.163, -0.037)</t>
  </si>
  <si>
    <t>-0.003 (-0.016, 0.01)</t>
  </si>
  <si>
    <t>0.311 (0.254, 0.368)</t>
  </si>
  <si>
    <t>0.085 (0.073, 0.097)</t>
  </si>
  <si>
    <t>Male</t>
  </si>
  <si>
    <t>0.206 (0.153, 0.258)</t>
  </si>
  <si>
    <t>0.049 (0.036, 0.063)</t>
  </si>
  <si>
    <t>0.398 (0.35, 0.447)</t>
  </si>
  <si>
    <t>0.101 (0.089, 0.113)</t>
  </si>
  <si>
    <t>WHR</t>
  </si>
  <si>
    <t>0.008 (0.007, 0.008)</t>
  </si>
  <si>
    <t>0.086 (0.077, 0.094)</t>
  </si>
  <si>
    <t>0.008 (0.008, 0.009)</t>
  </si>
  <si>
    <t>0.095 (0.086, 0.104)</t>
  </si>
  <si>
    <t>0.008 (0.007, 0.009)</t>
  </si>
  <si>
    <t>0.107 (0.096, 0.119)</t>
  </si>
  <si>
    <t>0.009 (0.008, 0.01)</t>
  </si>
  <si>
    <t>0.126 (0.114, 0.138)</t>
  </si>
  <si>
    <t>0.004 (0.004, 0.005)</t>
  </si>
  <si>
    <t>0.066 (0.055, 0.077)</t>
  </si>
  <si>
    <t>0.066 (0.056, 0.077)</t>
  </si>
  <si>
    <r>
      <t>VATi (L/m</t>
    </r>
    <r>
      <rPr>
        <vertAlign val="superscript"/>
        <sz val="11"/>
        <color theme="1"/>
        <rFont val="Aptos Narrow"/>
        <family val="2"/>
        <scheme val="minor"/>
      </rPr>
      <t>2</t>
    </r>
    <r>
      <rPr>
        <sz val="11"/>
        <color theme="1"/>
        <rFont val="Aptos Narrow"/>
        <family val="2"/>
        <scheme val="minor"/>
      </rPr>
      <t>)</t>
    </r>
  </si>
  <si>
    <t>0.102 (0.097, 0.108)</t>
  </si>
  <si>
    <t>0.184 (0.177, 0.192)</t>
  </si>
  <si>
    <t>0.104 (0.099, 0.11)</t>
  </si>
  <si>
    <t>0.19 (0.182, 0.197)</t>
  </si>
  <si>
    <t>0.103 (0.099, 0.108)</t>
  </si>
  <si>
    <t>0.199 (0.192, 0.207)</t>
  </si>
  <si>
    <t>0.107 (0.102, 0.111)</t>
  </si>
  <si>
    <t>0.207 (0.199, 0.215)</t>
  </si>
  <si>
    <t>0.104 (0.098, 0.11)</t>
  </si>
  <si>
    <t>0.132 (0.124, 0.14)</t>
  </si>
  <si>
    <t>0.103 (0.097, 0.109)</t>
  </si>
  <si>
    <t>0.132 (0.124, 0.141)</t>
  </si>
  <si>
    <r>
      <t>ASATi (L/m</t>
    </r>
    <r>
      <rPr>
        <vertAlign val="superscript"/>
        <sz val="11"/>
        <color theme="1"/>
        <rFont val="Aptos Narrow"/>
        <family val="2"/>
        <scheme val="minor"/>
      </rPr>
      <t>2</t>
    </r>
    <r>
      <rPr>
        <sz val="11"/>
        <color theme="1"/>
        <rFont val="Aptos Narrow"/>
        <family val="2"/>
        <scheme val="minor"/>
      </rPr>
      <t>)</t>
    </r>
  </si>
  <si>
    <t>0.068 (0.062, 0.074)</t>
  </si>
  <si>
    <t>0.085 (0.079, 0.09)</t>
  </si>
  <si>
    <t>0.056 (0.05, 0.062)</t>
  </si>
  <si>
    <t>0.079 (0.073, 0.085)</t>
  </si>
  <si>
    <t>0.08 (0.074, 0.087)</t>
  </si>
  <si>
    <t>0.088 (0.082, 0.094)</t>
  </si>
  <si>
    <t>0.071 (0.065, 0.078)</t>
  </si>
  <si>
    <t>0.084 (0.078, 0.09)</t>
  </si>
  <si>
    <t>0.042 (0.037, 0.047)</t>
  </si>
  <si>
    <t>0.063 (0.056, 0.07)</t>
  </si>
  <si>
    <t>0.033 (0.027, 0.038)</t>
  </si>
  <si>
    <t>0.057 (0.05, 0.064)</t>
  </si>
  <si>
    <t>TTMFI (%)</t>
  </si>
  <si>
    <t>0.23 (0.21, 0.251)</t>
  </si>
  <si>
    <t>0.107 (0.097, 0.117)</t>
  </si>
  <si>
    <t>0.219 (0.198, 0.241)</t>
  </si>
  <si>
    <t>0.102 (0.092, 0.112)</t>
  </si>
  <si>
    <t>0.232 (0.21, 0.254)</t>
  </si>
  <si>
    <t>0.125 (0.115, 0.136)</t>
  </si>
  <si>
    <t>0.223 (0.201, 0.245)</t>
  </si>
  <si>
    <t>0.12 (0.109, 0.131)</t>
  </si>
  <si>
    <t>0.289 (0.268, 0.311)</t>
  </si>
  <si>
    <t>0.145 (0.135, 0.156)</t>
  </si>
  <si>
    <t>0.281 (0.259, 0.302)</t>
  </si>
  <si>
    <t>0.142 (0.131, 0.152)</t>
  </si>
  <si>
    <r>
      <t>TTFFMVi (L/m</t>
    </r>
    <r>
      <rPr>
        <vertAlign val="superscript"/>
        <sz val="11"/>
        <color theme="1"/>
        <rFont val="Aptos Narrow"/>
        <family val="2"/>
        <scheme val="minor"/>
      </rPr>
      <t>2</t>
    </r>
    <r>
      <rPr>
        <sz val="11"/>
        <color theme="1"/>
        <rFont val="Aptos Narrow"/>
        <family val="2"/>
        <scheme val="minor"/>
      </rPr>
      <t>)</t>
    </r>
  </si>
  <si>
    <t>-0.034 (-0.039, -0.03)</t>
  </si>
  <si>
    <t>-0.078 (-0.085, -0.07)</t>
  </si>
  <si>
    <t>-0.022 (-0.027, -0.018)</t>
  </si>
  <si>
    <t>-0.057 (-0.064, -0.05)</t>
  </si>
  <si>
    <t>-0.047 (-0.051, -0.043)</t>
  </si>
  <si>
    <t>-0.124 (-0.135, -0.114)</t>
  </si>
  <si>
    <t>-0.037 (-0.041, -0.033)</t>
  </si>
  <si>
    <t>-0.098 (-0.109, -0.087)</t>
  </si>
  <si>
    <t>-0.074 (-0.079, -0.069)</t>
  </si>
  <si>
    <t>-0.156 (-0.166, -0.145)</t>
  </si>
  <si>
    <t>-0.065 (-0.07, -0.06)</t>
  </si>
  <si>
    <t>-0.136 (-0.146, -0.126)</t>
  </si>
  <si>
    <t>Liver PDFF (%)</t>
  </si>
  <si>
    <t>0.648 (0.586, 0.711)</t>
  </si>
  <si>
    <t>0.192 (0.18, 0.203)</t>
  </si>
  <si>
    <t>0.657 (0.593, 0.72)</t>
  </si>
  <si>
    <t>0.202 (0.191, 0.214)</t>
  </si>
  <si>
    <t>0.585 (0.524, 0.646)</t>
  </si>
  <si>
    <t>0.172 (0.16, 0.183)</t>
  </si>
  <si>
    <t>0.611 (0.549, 0.673)</t>
  </si>
  <si>
    <t>0.184 (0.172, 0.196)</t>
  </si>
  <si>
    <t>0.559 (0.489, 0.629)</t>
  </si>
  <si>
    <t>0.114 (0.101, 0.126)</t>
  </si>
  <si>
    <t>0.551 (0.48, 0.622)</t>
  </si>
  <si>
    <t>0.119 (0.107, 0.131)</t>
  </si>
  <si>
    <t>Pancreas PDFF (%)</t>
  </si>
  <si>
    <t>0.701 (0.58, 0.823)</t>
  </si>
  <si>
    <t>0.145 (0.131, 0.159)</t>
  </si>
  <si>
    <t>0.756 (0.633, 0.88)</t>
  </si>
  <si>
    <t>0.154 (0.14, 0.168)</t>
  </si>
  <si>
    <t>0.802 (0.694, 0.909)</t>
  </si>
  <si>
    <t>0.145 (0.13, 0.159)</t>
  </si>
  <si>
    <t>0.866 (0.756, 0.975)</t>
  </si>
  <si>
    <t>0.155 (0.141, 0.17)</t>
  </si>
  <si>
    <t>0.782 (0.638, 0.925)</t>
  </si>
  <si>
    <t>0.089 (0.074, 0.105)</t>
  </si>
  <si>
    <t>0.794 (0.649, 0.94)</t>
  </si>
  <si>
    <t>0.093 (0.078, 0.109)</t>
  </si>
  <si>
    <t>-1.028 (-1.091, -0.966)</t>
  </si>
  <si>
    <t>-0.243 (-0.257, -0.228)</t>
  </si>
  <si>
    <t>-0.653 (-0.716, -0.591)</t>
  </si>
  <si>
    <t>-0.152 (-0.167, -0.137)</t>
  </si>
  <si>
    <t>-1.091 (-1.161, -1.021)</t>
  </si>
  <si>
    <t>-0.196 (-0.209, -0.183)</t>
  </si>
  <si>
    <t>-0.616 (-0.687, -0.544)</t>
  </si>
  <si>
    <t>-0.108 (-0.12, -0.095)</t>
  </si>
  <si>
    <t>-0.688 (-0.736, -0.639)</t>
  </si>
  <si>
    <t>-0.488 (-0.538, -0.438)</t>
  </si>
  <si>
    <t>-0.14 (-0.153, -0.126)</t>
  </si>
  <si>
    <t>0.002 (0.001, 0.002)</t>
  </si>
  <si>
    <t>0.018 (0.008, 0.028)</t>
  </si>
  <si>
    <t>0.001 (0, 0.002)</t>
  </si>
  <si>
    <t>0.014 (0.004, 0.024)</t>
  </si>
  <si>
    <t>0 (-0.001, 0.001)</t>
  </si>
  <si>
    <t>0.005 (-0.007, 0.017)</t>
  </si>
  <si>
    <t>0.012 (0, 0.024)</t>
  </si>
  <si>
    <t>-0.002 (-0.002, -0.001)</t>
  </si>
  <si>
    <t>-0.027 (-0.038, -0.016)</t>
  </si>
  <si>
    <t>-0.003 (-0.003, -0.002)</t>
  </si>
  <si>
    <t>-0.042 (-0.053, -0.03)</t>
  </si>
  <si>
    <t>0.052 (0.046, 0.058)</t>
  </si>
  <si>
    <t>0.08 (0.071, 0.088)</t>
  </si>
  <si>
    <t>0.045 (0.038, 0.051)</t>
  </si>
  <si>
    <t>0.072 (0.063, 0.081)</t>
  </si>
  <si>
    <t>0.035 (0.029, 0.04)</t>
  </si>
  <si>
    <t>0.06 (0.052, 0.068)</t>
  </si>
  <si>
    <t>0.061 (0.053, 0.07)</t>
  </si>
  <si>
    <t>0.01 (0.004, 0.016)</t>
  </si>
  <si>
    <t>0.003 (-0.006, 0.011)</t>
  </si>
  <si>
    <t>-0.001 (-0.007, 0.006)</t>
  </si>
  <si>
    <t>-0.011 (-0.02, -0.002)</t>
  </si>
  <si>
    <t>-0.006 (-0.014, 0.001)</t>
  </si>
  <si>
    <t>0.017 (0.01, 0.024)</t>
  </si>
  <si>
    <t>-0.019 (-0.026, -0.012)</t>
  </si>
  <si>
    <t>0.007 (0, 0.014)</t>
  </si>
  <si>
    <t>0.026 (0.018, 0.034)</t>
  </si>
  <si>
    <t>0.016 (0.01, 0.022)</t>
  </si>
  <si>
    <t>0.016 (0.008, 0.023)</t>
  </si>
  <si>
    <t>0.012 (0.006, 0.018)</t>
  </si>
  <si>
    <t>-0.008 (-0.014, -0.003)</t>
  </si>
  <si>
    <t>-0.037 (-0.045, -0.03)</t>
  </si>
  <si>
    <t>-0.02 (-0.025, -0.015)</t>
  </si>
  <si>
    <t>-0.052 (-0.059, -0.044)</t>
  </si>
  <si>
    <t>0.097 (0.072, 0.121)</t>
  </si>
  <si>
    <t>0.048 (0.037, 0.06)</t>
  </si>
  <si>
    <t>0.061 (0.036, 0.087)</t>
  </si>
  <si>
    <t>0.032 (0.019, 0.044)</t>
  </si>
  <si>
    <t>0.091 (0.065, 0.117)</t>
  </si>
  <si>
    <t>0.045 (0.035, 0.056)</t>
  </si>
  <si>
    <t>0.055 (0.028, 0.081)</t>
  </si>
  <si>
    <t>0.031 (0.02, 0.041)</t>
  </si>
  <si>
    <t>0.041 (0.019, 0.063)</t>
  </si>
  <si>
    <t>0.013 (0.002, 0.024)</t>
  </si>
  <si>
    <t>0.015 (-0.007, 0.038)</t>
  </si>
  <si>
    <t>0 (-0.011, 0.011)</t>
  </si>
  <si>
    <t>0.005 (0, 0.01)</t>
  </si>
  <si>
    <t>-0.012 (-0.02, -0.003)</t>
  </si>
  <si>
    <t>0.024 (0.019, 0.029)</t>
  </si>
  <si>
    <t>0.021 (0.012, 0.03)</t>
  </si>
  <si>
    <t>-0.015 (-0.02, -0.01)</t>
  </si>
  <si>
    <t>-0.036 (-0.046, -0.025)</t>
  </si>
  <si>
    <t>0 (-0.005, 0.005)</t>
  </si>
  <si>
    <t>-0.001 (-0.012, 0.01)</t>
  </si>
  <si>
    <t>0.008 (0.003, 0.013)</t>
  </si>
  <si>
    <t>0.016 (0.005, 0.027)</t>
  </si>
  <si>
    <t>0.025 (0.02, 0.03)</t>
  </si>
  <si>
    <t>0.053 (0.042, 0.064)</t>
  </si>
  <si>
    <t>0.208 (0.133, 0.282)</t>
  </si>
  <si>
    <t>0.072 (0.058, 0.085)</t>
  </si>
  <si>
    <t>0.191 (0.115, 0.267)</t>
  </si>
  <si>
    <t>0.073 (0.059, 0.087)</t>
  </si>
  <si>
    <t>0.085 (0.013, 0.156)</t>
  </si>
  <si>
    <t>0.046 (0.034, 0.058)</t>
  </si>
  <si>
    <t>0.093 (0.019, 0.168)</t>
  </si>
  <si>
    <t>0.053 (0.04, 0.065)</t>
  </si>
  <si>
    <t>0.068 (-0.004, 0.14)</t>
  </si>
  <si>
    <t>0.041 (-0.033, 0.116)</t>
  </si>
  <si>
    <t>0 (-0.013, 0.014)</t>
  </si>
  <si>
    <t>0.118 (-0.027, 0.262)</t>
  </si>
  <si>
    <t>0.035 (0.019, 0.052)</t>
  </si>
  <si>
    <t>0.107 (-0.041, 0.254)</t>
  </si>
  <si>
    <t>0.034 (0.018, 0.051)</t>
  </si>
  <si>
    <t>0.135 (0.01, 0.26)</t>
  </si>
  <si>
    <t>0.03 (0.016, 0.044)</t>
  </si>
  <si>
    <t>0.149 (0.018, 0.28)</t>
  </si>
  <si>
    <t>0.032 (0.017, 0.047)</t>
  </si>
  <si>
    <t>0.032 (-0.115, 0.179)</t>
  </si>
  <si>
    <t>-0.004 (-0.02, 0.012)</t>
  </si>
  <si>
    <t>0 (-0.152, 0.152)</t>
  </si>
  <si>
    <t>-0.007 (-0.024, 0.009)</t>
  </si>
  <si>
    <t>-1.693 (-1.747, -1.639)</t>
  </si>
  <si>
    <t>-0.393 (-0.405, -0.38)</t>
  </si>
  <si>
    <t>-1.224 (-1.278, -1.171)</t>
  </si>
  <si>
    <t>-0.279 (-0.292, -0.267)</t>
  </si>
  <si>
    <t>-1.776 (-1.835, -1.716)</t>
  </si>
  <si>
    <t>-0.354 (-0.367, -0.342)</t>
  </si>
  <si>
    <t>-1.184 (-1.243, -1.126)</t>
  </si>
  <si>
    <t>-0.23 (-0.242, -0.218)</t>
  </si>
  <si>
    <t>-0.821 (-0.873, -0.769)</t>
  </si>
  <si>
    <t>-0.207 (-0.22, -0.194)</t>
  </si>
  <si>
    <t>-0.552 (-0.604, -0.5)</t>
  </si>
  <si>
    <t>-0.134 (-0.147, -0.121)</t>
  </si>
  <si>
    <t>-0.002 (-0.003, -0.001)</t>
  </si>
  <si>
    <t>-0.02 (-0.03, -0.011)</t>
  </si>
  <si>
    <t>-0.022 (-0.032, -0.013)</t>
  </si>
  <si>
    <t>-0.004 (-0.005, -0.003)</t>
  </si>
  <si>
    <t>-0.055 (-0.067, -0.043)</t>
  </si>
  <si>
    <t>-0.003 (-0.004, -0.003)</t>
  </si>
  <si>
    <t>-0.045 (-0.058, -0.033)</t>
  </si>
  <si>
    <t>-0.029 (-0.04, -0.018)</t>
  </si>
  <si>
    <t>-0.003 (-0.004, -0.002)</t>
  </si>
  <si>
    <t>-0.043 (-0.054, -0.031)</t>
  </si>
  <si>
    <t xml:space="preserve"> -0.022 (-0.028, -0.017)</t>
  </si>
  <si>
    <t>-0.024 (-0.032, -0.016)</t>
  </si>
  <si>
    <t xml:space="preserve"> -0.021 (-0.027, -0.015)</t>
  </si>
  <si>
    <t>-0.023 (-0.031, -0.015)</t>
  </si>
  <si>
    <t>-0.011 (-0.016, -0.006)</t>
  </si>
  <si>
    <t>-0.005 (-0.013, 0.003)</t>
  </si>
  <si>
    <t>0 (-0.009, 0.008)</t>
  </si>
  <si>
    <t>-0.013 (-0.019, -0.006)</t>
  </si>
  <si>
    <t>-0.012 (-0.021, -0.003)</t>
  </si>
  <si>
    <t>-0.018 (-0.024, -0.011)</t>
  </si>
  <si>
    <t>-0.017 (-0.026, -0.008)</t>
  </si>
  <si>
    <t>-0.022 (-0.029, -0.016)</t>
  </si>
  <si>
    <t>0.025 (0.019, 0.031)</t>
  </si>
  <si>
    <t>-0.039 (-0.046, -0.033)</t>
  </si>
  <si>
    <t>0.028 (0.021, 0.035)</t>
  </si>
  <si>
    <t>0.024 (0.018, 0.03)</t>
  </si>
  <si>
    <t>0.014 (0.007, 0.021)</t>
  </si>
  <si>
    <t>0.015 (0.009, 0.022)</t>
  </si>
  <si>
    <t>0.026 (0.02, 0.031)</t>
  </si>
  <si>
    <t>0.038 (0.031, 0.046)</t>
  </si>
  <si>
    <t>0.008 (0.003, 0.014)</t>
  </si>
  <si>
    <t>0.019 (0.012, 0.027)</t>
  </si>
  <si>
    <t>0.048 (0.026, 0.071)</t>
  </si>
  <si>
    <t>0.033 (0.022, 0.043)</t>
  </si>
  <si>
    <t>0.018 (0.007, 0.028)</t>
  </si>
  <si>
    <t>0.032 (0.008, 0.056)</t>
  </si>
  <si>
    <t>0.027 (0.016, 0.037)</t>
  </si>
  <si>
    <t>0.001 (-0.024, 0.025)</t>
  </si>
  <si>
    <t>0.012 (0.001, 0.023)</t>
  </si>
  <si>
    <t>0.035 (0.011, 0.058)</t>
  </si>
  <si>
    <t>0.019 (0.008, 0.03)</t>
  </si>
  <si>
    <t>0.005 (-0.019, 0.029)</t>
  </si>
  <si>
    <t>0.005 (-0.006, 0.017)</t>
  </si>
  <si>
    <t>0.009 (0.005, 0.014)</t>
  </si>
  <si>
    <t>-0.008 (-0.016, 0)</t>
  </si>
  <si>
    <t>0.031 (0.026, 0.035)</t>
  </si>
  <si>
    <t>0.029 (0.021, 0.037)</t>
  </si>
  <si>
    <t>-0.015 (-0.019, -0.01)</t>
  </si>
  <si>
    <t>-0.038 (-0.05, -0.027)</t>
  </si>
  <si>
    <t>0.004 (0, 0.009)</t>
  </si>
  <si>
    <t>0.011 (-0.001, 0.022)</t>
  </si>
  <si>
    <t>-0.011 (-0.017, -0.006)</t>
  </si>
  <si>
    <t>-0.026 (-0.037, -0.015)</t>
  </si>
  <si>
    <t>0.01 (0.005, 0.016)</t>
  </si>
  <si>
    <t>0.02 (0.009, 0.031)</t>
  </si>
  <si>
    <t>-0.067 (-0.132, -0.001)</t>
  </si>
  <si>
    <t>-0.012 (-0.025, 0)</t>
  </si>
  <si>
    <t>-0.056 (-0.123, 0.011)</t>
  </si>
  <si>
    <t>-0.009 (-0.021, 0.004)</t>
  </si>
  <si>
    <t>-0.242 (-0.307, -0.177)</t>
  </si>
  <si>
    <t>-0.031 (-0.043, -0.018)</t>
  </si>
  <si>
    <t>-0.212 (-0.279, -0.145)</t>
  </si>
  <si>
    <t>-0.024 (-0.037, -0.012)</t>
  </si>
  <si>
    <t>-0.126 (-0.2, -0.053)</t>
  </si>
  <si>
    <t>-0.021 (-0.034, -0.008)</t>
  </si>
  <si>
    <t>-0.129 (-0.204, -0.054)</t>
  </si>
  <si>
    <t>-0.019 (-0.033, -0.006)</t>
  </si>
  <si>
    <t>-0.057 (-0.188, 0.074)</t>
  </si>
  <si>
    <t>0 (-0.015, 0.015)</t>
  </si>
  <si>
    <t>-0.056 (-0.189, 0.078)</t>
  </si>
  <si>
    <t>0.002 (-0.014, 0.017)</t>
  </si>
  <si>
    <t>-0.111 (-0.228, 0.007)</t>
  </si>
  <si>
    <t>-0.001 (-0.016, 0.014)</t>
  </si>
  <si>
    <t>-0.096 (-0.216, 0.025)</t>
  </si>
  <si>
    <t>0.003 (-0.012, 0.019)</t>
  </si>
  <si>
    <t>-0.137 (-0.292, 0.019)</t>
  </si>
  <si>
    <t>-0.016 (-0.032, 0)</t>
  </si>
  <si>
    <t>-0.156 (-0.315, 0.004)</t>
  </si>
  <si>
    <t>-0.017 (-0.033, 0)</t>
  </si>
  <si>
    <t>-1.206 (-1.263, -1.149)</t>
  </si>
  <si>
    <t>-0.274 (-0.287, -0.261)</t>
  </si>
  <si>
    <t>-0.709 (-0.765, -0.653)</t>
  </si>
  <si>
    <t>-0.154 (-0.167, -0.141)</t>
  </si>
  <si>
    <t>-1.268 (-1.33, -1.206)</t>
  </si>
  <si>
    <t>-0.243 (-0.255, -0.23)</t>
  </si>
  <si>
    <t>-0.67 (-0.732, -0.608)</t>
  </si>
  <si>
    <t>-0.119 (-0.131, -0.106)</t>
  </si>
  <si>
    <t>-0.534 (-0.585, -0.483)</t>
  </si>
  <si>
    <t>-0.135 (-0.149, -0.121)</t>
  </si>
  <si>
    <t>-0.236 (-0.287, -0.184)</t>
  </si>
  <si>
    <t>-0.05 (-0.064, -0.036)</t>
  </si>
  <si>
    <t>-0.021 (-0.03, -0.012)</t>
  </si>
  <si>
    <t>-0.023 (-0.033, -0.014)</t>
  </si>
  <si>
    <t>-0.044 (-0.056, -0.032)</t>
  </si>
  <si>
    <t>-0.035 (-0.047, -0.023)</t>
  </si>
  <si>
    <t>-0.03 (-0.042, -0.019)</t>
  </si>
  <si>
    <t>-0.046 (-0.058, -0.035)</t>
  </si>
  <si>
    <t>-0.019 (-0.024, -0.013)</t>
  </si>
  <si>
    <t>-0.043 (-0.051, -0.035)</t>
  </si>
  <si>
    <t>-0.024 (-0.03, -0.018)</t>
  </si>
  <si>
    <t>-0.049 (-0.057, -0.041)</t>
  </si>
  <si>
    <t>-0.043 (-0.048, -0.038)</t>
  </si>
  <si>
    <t>-0.068 (-0.076, -0.06)</t>
  </si>
  <si>
    <t>-0.044 (-0.05, -0.039)</t>
  </si>
  <si>
    <t>-0.069 (-0.078, -0.061)</t>
  </si>
  <si>
    <t>-0.029 (-0.035, -0.022)</t>
  </si>
  <si>
    <t>-0.036 (-0.045, -0.027)</t>
  </si>
  <si>
    <t>-0.036 (-0.043, -0.03)</t>
  </si>
  <si>
    <t>-0.045 (-0.054, -0.036)</t>
  </si>
  <si>
    <t>-0.07 (-0.076, -0.063)</t>
  </si>
  <si>
    <t>-0.03 (-0.036, -0.023)</t>
  </si>
  <si>
    <t>-0.084 (-0.09, -0.077)</t>
  </si>
  <si>
    <t>-0.04 (-0.046, -0.033)</t>
  </si>
  <si>
    <t>-0.039 (-0.046, -0.032)</t>
  </si>
  <si>
    <t>-0.031 (-0.037, -0.025)</t>
  </si>
  <si>
    <t>-0.052 (-0.059, -0.045)</t>
  </si>
  <si>
    <t>-0.039 (-0.045, -0.033)</t>
  </si>
  <si>
    <t>0.008 (0.002, 0.013)</t>
  </si>
  <si>
    <t>0.018 (0.01, 0.026)</t>
  </si>
  <si>
    <t>-0.005 (-0.011, 0)</t>
  </si>
  <si>
    <t>0.004 (-0.004, 0.012)</t>
  </si>
  <si>
    <t>0.082 (0.06, 0.105)</t>
  </si>
  <si>
    <t>0.042 (0.031, 0.052)</t>
  </si>
  <si>
    <t>0.045 (0.022, 0.068)</t>
  </si>
  <si>
    <t>0.024 (0.013, 0.035)</t>
  </si>
  <si>
    <t>0.072 (0.049, 0.095)</t>
  </si>
  <si>
    <t>0.037 (0.027, 0.048)</t>
  </si>
  <si>
    <t>0.033 (0.009, 0.056)</t>
  </si>
  <si>
    <t>0.098 (0.076, 0.12)</t>
  </si>
  <si>
    <t>0.056 (0.044, 0.067)</t>
  </si>
  <si>
    <t>0.068 (0.046, 0.091)</t>
  </si>
  <si>
    <t>0.041 (0.029, 0.052)</t>
  </si>
  <si>
    <t>0.046 (0.041, 0.051)</t>
  </si>
  <si>
    <t>0.074 (0.066, 0.082)</t>
  </si>
  <si>
    <t>0.066 (0.061, 0.071)</t>
  </si>
  <si>
    <t>0.11 (0.102, 0.118)</t>
  </si>
  <si>
    <t>0.03 (0.025, 0.034)</t>
  </si>
  <si>
    <t>0.079 (0.068, 0.09)</t>
  </si>
  <si>
    <t>0.049 (0.045, 0.053)</t>
  </si>
  <si>
    <t>0.129 (0.118, 0.14)</t>
  </si>
  <si>
    <t>0.003 (-0.008, 0.014)</t>
  </si>
  <si>
    <t>0.019 (0.014, 0.024)</t>
  </si>
  <si>
    <t>0.045 (0.033, 0.056)</t>
  </si>
  <si>
    <t>-0.228 (-0.294, -0.161)</t>
  </si>
  <si>
    <t>-0.073 (-0.085, -0.061)</t>
  </si>
  <si>
    <t>-0.243 (-0.311, -0.175)</t>
  </si>
  <si>
    <t>-0.074 (-0.087, -0.061)</t>
  </si>
  <si>
    <t>-0.369 (-0.433, -0.305)</t>
  </si>
  <si>
    <t>-0.085 (-0.097, -0.073)</t>
  </si>
  <si>
    <t>-0.358 (-0.425, -0.292)</t>
  </si>
  <si>
    <t>-0.083 (-0.096, -0.071)</t>
  </si>
  <si>
    <t>-0.361 (-0.431, -0.29)</t>
  </si>
  <si>
    <t>-0.067 (-0.08, -0.054)</t>
  </si>
  <si>
    <t>-0.393 (-0.467, -0.319)</t>
  </si>
  <si>
    <t>-0.07 (-0.083, -0.056)</t>
  </si>
  <si>
    <t>-0.172 (-0.302, -0.042)</t>
  </si>
  <si>
    <t>-0.03 (-0.045, -0.015)</t>
  </si>
  <si>
    <t>-0.185 (-0.318, -0.052)</t>
  </si>
  <si>
    <t>-0.032 (-0.047, -0.016)</t>
  </si>
  <si>
    <t>-0.19 (-0.304, -0.076)</t>
  </si>
  <si>
    <t>-0.032 (-0.046, -0.017)</t>
  </si>
  <si>
    <t>-0.194 (-0.313, -0.075)</t>
  </si>
  <si>
    <t>-0.032 (-0.048, -0.017)</t>
  </si>
  <si>
    <t>-0.064 (-0.21, 0.083)</t>
  </si>
  <si>
    <t>-0.01 (-0.026, 0.007)</t>
  </si>
  <si>
    <t>-0.089 (-0.242, 0.064)</t>
  </si>
  <si>
    <t>-0.011 (-0.029, 0.006)</t>
  </si>
  <si>
    <t>0.781 (0.723, 0.839)</t>
  </si>
  <si>
    <t>0.199 (0.186, 0.213)</t>
  </si>
  <si>
    <t>0.835 (0.78, 0.89)</t>
  </si>
  <si>
    <t>0.213 (0.2, 0.226)</t>
  </si>
  <si>
    <t>0.77 (0.706, 0.834)</t>
  </si>
  <si>
    <t>0.164 (0.151, 0.177)</t>
  </si>
  <si>
    <t>0.793 (0.733, 0.853)</t>
  </si>
  <si>
    <t>0.169 (0.157, 0.181)</t>
  </si>
  <si>
    <t>0.617 (0.559, 0.675)</t>
  </si>
  <si>
    <t>0.158 (0.143, 0.173)</t>
  </si>
  <si>
    <t>0.657 (0.601, 0.713)</t>
  </si>
  <si>
    <t>0.169 (0.155, 0.184)</t>
  </si>
  <si>
    <t>0.1 (0.09, 0.109)</t>
  </si>
  <si>
    <t>0.01 (0.009, 0.011)</t>
  </si>
  <si>
    <t>0.124 (0.112, 0.136)</t>
  </si>
  <si>
    <t>0.127 (0.115, 0.139)</t>
  </si>
  <si>
    <t>0.006 (0.006, 0.007)</t>
  </si>
  <si>
    <t>0.095 (0.083, 0.108)</t>
  </si>
  <si>
    <t>0.006 (0.005, 0.007)</t>
  </si>
  <si>
    <t>0.091 (0.078, 0.103)</t>
  </si>
  <si>
    <t>0.1 (0.094, 0.105)</t>
  </si>
  <si>
    <t>0.192 (0.184, 0.199)</t>
  </si>
  <si>
    <t>0.096 (0.091, 0.102)</t>
  </si>
  <si>
    <t>0.187 (0.18, 0.195)</t>
  </si>
  <si>
    <t>0.111 (0.106, 0.116)</t>
  </si>
  <si>
    <t>0.194 (0.186, 0.202)</t>
  </si>
  <si>
    <t>0.11 (0.105, 0.115)</t>
  </si>
  <si>
    <t>0.192 (0.184, 0.2)</t>
  </si>
  <si>
    <t>0.118 (0.111, 0.125)</t>
  </si>
  <si>
    <t>0.162 (0.152, 0.171)</t>
  </si>
  <si>
    <t>0.113 (0.106, 0.12)</t>
  </si>
  <si>
    <t>0.157 (0.147, 0.166)</t>
  </si>
  <si>
    <t>0.089 (0.082, 0.096)</t>
  </si>
  <si>
    <t>0.086 (0.08, 0.093)</t>
  </si>
  <si>
    <t>0.082 (0.075, 0.088)</t>
  </si>
  <si>
    <t>0.081 (0.075, 0.087)</t>
  </si>
  <si>
    <t>0.074 (0.067, 0.081)</t>
  </si>
  <si>
    <t>0.078 (0.072, 0.083)</t>
  </si>
  <si>
    <t>0.069 (0.062, 0.076)</t>
  </si>
  <si>
    <t>0.074 (0.068, 0.08)</t>
  </si>
  <si>
    <t>0.044 (0.038, 0.051)</t>
  </si>
  <si>
    <t>0.038 (0.031, 0.044)</t>
  </si>
  <si>
    <t>0.073 (0.064, 0.081)</t>
  </si>
  <si>
    <t>0.202 (0.18, 0.225)</t>
  </si>
  <si>
    <t>0.095 (0.084, 0.106)</t>
  </si>
  <si>
    <t>0.184 (0.161, 0.206)</t>
  </si>
  <si>
    <t>0.086 (0.075, 0.097)</t>
  </si>
  <si>
    <t>0.204 (0.181, 0.227)</t>
  </si>
  <si>
    <t>0.101 (0.09, 0.111)</t>
  </si>
  <si>
    <t>0.19 (0.167, 0.213)</t>
  </si>
  <si>
    <t>0.094 (0.084, 0.104)</t>
  </si>
  <si>
    <t>0.275 (0.25, 0.301)</t>
  </si>
  <si>
    <t>0.138 (0.125, 0.15)</t>
  </si>
  <si>
    <t>0.26 (0.234, 0.285)</t>
  </si>
  <si>
    <t>0.131 (0.118, 0.143)</t>
  </si>
  <si>
    <t>-0.047 (-0.052, -0.043)</t>
  </si>
  <si>
    <t>-0.096 (-0.104, -0.088)</t>
  </si>
  <si>
    <t>-0.04 (-0.045, -0.036)</t>
  </si>
  <si>
    <t>-0.083 (-0.091, -0.075)</t>
  </si>
  <si>
    <t>-0.048 (-0.052, -0.043)</t>
  </si>
  <si>
    <t>-0.12 (-0.131, -0.109)</t>
  </si>
  <si>
    <t>-0.043 (-0.047, -0.039)</t>
  </si>
  <si>
    <t>-0.108 (-0.119, -0.098)</t>
  </si>
  <si>
    <t>-0.083 (-0.089, -0.078)</t>
  </si>
  <si>
    <t>-0.173 (-0.184, -0.161)</t>
  </si>
  <si>
    <t>-0.075 (-0.081, -0.07)</t>
  </si>
  <si>
    <t>-0.155 (-0.167, -0.144)</t>
  </si>
  <si>
    <t>0.764 (0.696, 0.832)</t>
  </si>
  <si>
    <t>0.216 (0.203, 0.229)</t>
  </si>
  <si>
    <t>0.752 (0.684, 0.82)</t>
  </si>
  <si>
    <t>0.214 (0.202, 0.227)</t>
  </si>
  <si>
    <t>0.756 (0.692, 0.821)</t>
  </si>
  <si>
    <t>0.18 (0.168, 0.191)</t>
  </si>
  <si>
    <t>0.179 (0.168, 0.191)</t>
  </si>
  <si>
    <t>0.675 (0.591, 0.759)</t>
  </si>
  <si>
    <t>0.141 (0.127, 0.156)</t>
  </si>
  <si>
    <t>0.656 (0.571, 0.74)</t>
  </si>
  <si>
    <t>0.139 (0.125, 0.154)</t>
  </si>
  <si>
    <t>0.785 (0.654, 0.916)</t>
  </si>
  <si>
    <t>0.775 (0.644, 0.906)</t>
  </si>
  <si>
    <t>0.156 (0.141, 0.171)</t>
  </si>
  <si>
    <t>0.857 (0.744, 0.97)</t>
  </si>
  <si>
    <t>0.139 (0.124, 0.153)</t>
  </si>
  <si>
    <t>0.853 (0.74, 0.967)</t>
  </si>
  <si>
    <t>0.138 (0.123, 0.152)</t>
  </si>
  <si>
    <t>0.877 (0.7, 1.054)</t>
  </si>
  <si>
    <t>0.104 (0.086, 0.122)</t>
  </si>
  <si>
    <t>0.859 (0.681, 1.037)</t>
  </si>
  <si>
    <t>0.103 (0.084, 0.121)</t>
  </si>
  <si>
    <t>Incidence type</t>
  </si>
  <si>
    <t>Adj. model</t>
  </si>
  <si>
    <t>Tertiles</t>
  </si>
  <si>
    <t>n(case/control)</t>
  </si>
  <si>
    <t>HR (95% CI)</t>
  </si>
  <si>
    <t>p-value</t>
  </si>
  <si>
    <t>AUC (95% CI)</t>
  </si>
  <si>
    <t>Imaging-incident</t>
  </si>
  <si>
    <t>T1 (ref)</t>
  </si>
  <si>
    <t>117/13789</t>
  </si>
  <si>
    <t>0.752 (0.733, 0.771)</t>
  </si>
  <si>
    <t>95/11521</t>
  </si>
  <si>
    <t>0.759 (0.738, 0.779)</t>
  </si>
  <si>
    <t>T2</t>
  </si>
  <si>
    <t>345/27467</t>
  </si>
  <si>
    <t>1.759 (1.139, 2.716)</t>
  </si>
  <si>
    <t>269/22962</t>
  </si>
  <si>
    <t>2.004 (1.044, 3.843)</t>
  </si>
  <si>
    <t>T3</t>
  </si>
  <si>
    <t>81/4555</t>
  </si>
  <si>
    <t>2.816 (1.691, 4.688)</t>
  </si>
  <si>
    <t>77/3795</t>
  </si>
  <si>
    <t>4.021 (2.044, 7.908)</t>
  </si>
  <si>
    <t>94/8747</t>
  </si>
  <si>
    <t>0.723 (0.698, 0.748)</t>
  </si>
  <si>
    <t>62/6453</t>
  </si>
  <si>
    <t>0.720 (0.690, 0.750)</t>
  </si>
  <si>
    <t>148/8691</t>
  </si>
  <si>
    <t>1.436 (1.105, 1.866)</t>
  </si>
  <si>
    <t>150/7993</t>
  </si>
  <si>
    <t>1.614 (1.195, 2.180)</t>
  </si>
  <si>
    <t>110/4311</t>
  </si>
  <si>
    <t>1.962 (1.473, 2.614)</t>
  </si>
  <si>
    <t>59/1570</t>
  </si>
  <si>
    <t>2.610 (1.803, 3.776)</t>
  </si>
  <si>
    <t>22/4829</t>
  </si>
  <si>
    <t>0.759 (0.728, 0.791)</t>
  </si>
  <si>
    <t>63/13396</t>
  </si>
  <si>
    <t>0.767 (0.735, 0.798)</t>
  </si>
  <si>
    <t>135/16841</t>
  </si>
  <si>
    <t>1.875 (1.177, 2.990)</t>
  </si>
  <si>
    <t>42/4444</t>
  </si>
  <si>
    <t>1.602 (1.080, 2.374)</t>
  </si>
  <si>
    <t>34/2392</t>
  </si>
  <si>
    <t>3.366 (1.898, 5.969)</t>
  </si>
  <si>
    <t>65/4422</t>
  </si>
  <si>
    <t>2.237 (1.572, 3.181)</t>
  </si>
  <si>
    <t>0.753 (0.734, 0.772)</t>
  </si>
  <si>
    <t>0.756 (0.735, 0.777)</t>
  </si>
  <si>
    <t>1.809 (1.169, 2.799)</t>
  </si>
  <si>
    <t>2.002 (1.043, 3.841)</t>
  </si>
  <si>
    <t>2.936 (1.757, 4.904)</t>
  </si>
  <si>
    <t>4.017 (2.041, 7.903)</t>
  </si>
  <si>
    <t>0.720 (0.694, 0.746)</t>
  </si>
  <si>
    <t>0.721 (0.692, 0.751)</t>
  </si>
  <si>
    <t>1.452 (1.117, 1.888)</t>
  </si>
  <si>
    <t>1.606 (1.188, 2.168)</t>
  </si>
  <si>
    <t>2.010 (1.505, 2.684)</t>
  </si>
  <si>
    <t>2.572 (1.776, 3.725)</t>
  </si>
  <si>
    <t>0.762 (0.731, 0.793)</t>
  </si>
  <si>
    <t>0.770 (0.738, 0.800)</t>
  </si>
  <si>
    <t>1.926 (1.203, 3.084)</t>
  </si>
  <si>
    <t>1.612 (1.086, 2.390)</t>
  </si>
  <si>
    <t>3.497 (1.958, 6.245)</t>
  </si>
  <si>
    <t>2.246 (1.579, 3.196)</t>
  </si>
  <si>
    <t>0.764 (0.745, 0.783)</t>
  </si>
  <si>
    <t>0.770 (0.749, 0.790)</t>
  </si>
  <si>
    <t>1.630 (1.052, 2.525)</t>
  </si>
  <si>
    <t>1.833 (0.954, 3.523)</t>
  </si>
  <si>
    <t>2.298 (1.370, 3.853)</t>
  </si>
  <si>
    <t>3.244 (1.642, 6.408)</t>
  </si>
  <si>
    <t>0.739 (0.713, 0.764)</t>
  </si>
  <si>
    <t>0.734 (0.704, 0.762)</t>
  </si>
  <si>
    <t>1.331 (1.022, 1.733)</t>
  </si>
  <si>
    <t>1.467 (1.084, 1.985)</t>
  </si>
  <si>
    <t>1.686 (1.256, 2.263)</t>
  </si>
  <si>
    <t>2.125 (1.457, 3.097)</t>
  </si>
  <si>
    <t>0.776 (0.744, 0.807)</t>
  </si>
  <si>
    <t>0.783 (0.752, 0.814)</t>
  </si>
  <si>
    <t>1.671 (1.042, 2.680)</t>
  </si>
  <si>
    <t>1.424 (0.957, 2.117)</t>
  </si>
  <si>
    <t>2.521 (1.400, 4.537)</t>
  </si>
  <si>
    <t>1.766 (1.230, 2.533)</t>
  </si>
  <si>
    <t>Admission-incident</t>
  </si>
  <si>
    <t>831/27720</t>
  </si>
  <si>
    <t>0.758 (0.747, 0.768)</t>
  </si>
  <si>
    <t>475/19374</t>
  </si>
  <si>
    <t>0.772 (0.760, 0.783)</t>
  </si>
  <si>
    <t>630/13464</t>
  </si>
  <si>
    <t>1.351 (1.125, 1.622)</t>
  </si>
  <si>
    <t>633/15245</t>
  </si>
  <si>
    <t>1.974 (1.534, 2.539)</t>
  </si>
  <si>
    <t>314/4445</t>
  </si>
  <si>
    <t>2.473 (2.014, 3.036)</t>
  </si>
  <si>
    <t>311/3659</t>
  </si>
  <si>
    <t>4.835 (3.735, 6.258)</t>
  </si>
  <si>
    <t>280/8870</t>
  </si>
  <si>
    <t>0.720 (0.705, 0.735)</t>
  </si>
  <si>
    <t>169/6576</t>
  </si>
  <si>
    <t>0.721 (0.703, 0.739)</t>
  </si>
  <si>
    <t>440/8717</t>
  </si>
  <si>
    <t>1.434 (1.231, 1.669)</t>
  </si>
  <si>
    <t>339/6406</t>
  </si>
  <si>
    <t>1.755 (1.456, 2.115)</t>
  </si>
  <si>
    <t>422/4156</t>
  </si>
  <si>
    <t>2.566 (2.191, 3.004)</t>
  </si>
  <si>
    <t>339/3034</t>
  </si>
  <si>
    <t>3.071 (2.535, 3.720)</t>
  </si>
  <si>
    <t>74/4865</t>
  </si>
  <si>
    <t>0.781 (0.764, 0.798)</t>
  </si>
  <si>
    <t>176/13524</t>
  </si>
  <si>
    <t>0.801 (0.784, 0.818)</t>
  </si>
  <si>
    <t>340/14477</t>
  </si>
  <si>
    <t>1.443 (1.114, 1.869)</t>
  </si>
  <si>
    <t>221/6629</t>
  </si>
  <si>
    <t>2.034 (1.665, 2.484)</t>
  </si>
  <si>
    <t>219/4720</t>
  </si>
  <si>
    <t>2.788 (2.107, 3.691)</t>
  </si>
  <si>
    <t>175/2109</t>
  </si>
  <si>
    <t>4.228 (3.416, 5.233)</t>
  </si>
  <si>
    <t>0.759 (0.748, 0.770)</t>
  </si>
  <si>
    <t>0.771 (0.759, 0.782)</t>
  </si>
  <si>
    <t>1.400 (1.165, 1.681)</t>
  </si>
  <si>
    <t>1.994 (1.549, 2.566)</t>
  </si>
  <si>
    <t>2.616 (2.128, 3.215)</t>
  </si>
  <si>
    <t>4.884 (3.772, 6.323)</t>
  </si>
  <si>
    <t>0.722 (0.705, 0.740)</t>
  </si>
  <si>
    <t>1.453 (1.248, 1.692)</t>
  </si>
  <si>
    <t>2.645 (2.255, 3.101)</t>
  </si>
  <si>
    <t>3.071 (2.534, 3.721)</t>
  </si>
  <si>
    <t>0.785 (0.768, 0.802)</t>
  </si>
  <si>
    <t>0.803 (0.786, 0.820)</t>
  </si>
  <si>
    <t>1.583 (1.220, 2.055)</t>
  </si>
  <si>
    <t>2.064 (1.690, 2.521)</t>
  </si>
  <si>
    <t>3.184 (2.396, 4.231)</t>
  </si>
  <si>
    <t>4.231 (3.417, 5.239)</t>
  </si>
  <si>
    <t>0.787 (0.777, 0.798)</t>
  </si>
  <si>
    <t>0.797 (0.786, 0.808)</t>
  </si>
  <si>
    <t>1.240 (1.031, 1.490)</t>
  </si>
  <si>
    <t>1.792 (1.392, 2.309)</t>
  </si>
  <si>
    <t>2.060 (1.674, 2.536)</t>
  </si>
  <si>
    <t>3.856 (2.971, 5.005)</t>
  </si>
  <si>
    <t>0.754 (0.740, 0.768)</t>
  </si>
  <si>
    <t>0.752 (0.735, 0.768)</t>
  </si>
  <si>
    <t>1.318 (1.131, 1.535)</t>
  </si>
  <si>
    <t>1.578 (1.308, 1.903)</t>
  </si>
  <si>
    <t>2.142 (1.822, 2.518)</t>
  </si>
  <si>
    <t>2.458 (2.022, 2.987)</t>
  </si>
  <si>
    <t>0.811 (0.795, 0.827)</t>
  </si>
  <si>
    <t>0.823 (0.807, 0.839)</t>
  </si>
  <si>
    <t>1.347 (1.037, 1.750)</t>
  </si>
  <si>
    <t>1.766 (1.443, 2.162)</t>
  </si>
  <si>
    <t>2.210 (1.657, 2.948)</t>
  </si>
  <si>
    <t>3.120 (2.507, 3.885)</t>
  </si>
  <si>
    <t>Imaging-incient</t>
  </si>
  <si>
    <t>543/45811</t>
  </si>
  <si>
    <t>1.317 (1.130, 1.536)</t>
  </si>
  <si>
    <t>0.751 (0.732, 0.770)</t>
  </si>
  <si>
    <t>441/38278</t>
  </si>
  <si>
    <t>1.540 (1.296, 1.829)</t>
  </si>
  <si>
    <t>0.758 (0.737, 0.779)</t>
  </si>
  <si>
    <t>352/21749</t>
  </si>
  <si>
    <t>1.280 (1.146, 1.430)</t>
  </si>
  <si>
    <t>0.721 (0.695, 0.746)</t>
  </si>
  <si>
    <t>271/16016</t>
  </si>
  <si>
    <t>1.384 (1.214, 1.577)</t>
  </si>
  <si>
    <t>0.719 (0.689, 0.749)</t>
  </si>
  <si>
    <t>191/24062</t>
  </si>
  <si>
    <t>1.298 (1.104, 1.527)</t>
  </si>
  <si>
    <t>0.760 (0.728, 0.791)</t>
  </si>
  <si>
    <t>170/22262</t>
  </si>
  <si>
    <t>1.528 (1.283, 1.820)</t>
  </si>
  <si>
    <t>0.767 (0.736, 0.799)</t>
  </si>
  <si>
    <t>1.336 (1.145, 1.559)</t>
  </si>
  <si>
    <t>0.751 (0.731, 0.770)</t>
  </si>
  <si>
    <t>0.759 (0.738, 0.780)</t>
  </si>
  <si>
    <t>1.294 (1.157, 1.448)</t>
  </si>
  <si>
    <t>0.722 (0.696, 0.747)</t>
  </si>
  <si>
    <t>1.377 (1.208, 1.570)</t>
  </si>
  <si>
    <t>0.720 (0.691, 0.750)</t>
  </si>
  <si>
    <t>1.313 (1.114, 1.548)</t>
  </si>
  <si>
    <t>0.758 (0.727, 0.790)</t>
  </si>
  <si>
    <t>1.531 (1.286, 1.822)</t>
  </si>
  <si>
    <t>0.768 (0.736, 0.799)</t>
  </si>
  <si>
    <t>1.222 (1.047, 1.427)</t>
  </si>
  <si>
    <t>0.765 (0.746, 0.784)</t>
  </si>
  <si>
    <t>1.413 (1.189, 1.680)</t>
  </si>
  <si>
    <t>0.772 (0.751, 0.792)</t>
  </si>
  <si>
    <t>1.201 (1.070, 1.348)</t>
  </si>
  <si>
    <t>0.735 (0.709, 0.760)</t>
  </si>
  <si>
    <t>1.280 (1.119, 1.464)</t>
  </si>
  <si>
    <t>0.734 (0.705, 0.763)</t>
  </si>
  <si>
    <t>1.162 (0.984, 1.373)</t>
  </si>
  <si>
    <t>0.773 (0.740, 0.804)</t>
  </si>
  <si>
    <t>1.326 (1.109, 1.585)</t>
  </si>
  <si>
    <t>Admission-incient</t>
  </si>
  <si>
    <t>1775/45811</t>
  </si>
  <si>
    <t>1.476 (1.354, 1.608)</t>
  </si>
  <si>
    <t>1419/38278</t>
  </si>
  <si>
    <t>2.016 (1.835, 2.214)</t>
  </si>
  <si>
    <t>0.777 (0.765, 0.788)</t>
  </si>
  <si>
    <t>1142/21749</t>
  </si>
  <si>
    <t>1.470 (1.384, 1.562)</t>
  </si>
  <si>
    <t>0.720 (0.705, 0.736)</t>
  </si>
  <si>
    <t>847/16016</t>
  </si>
  <si>
    <t>1.614 (1.502, 1.735)</t>
  </si>
  <si>
    <t>0.726 (0.708, 0.743)</t>
  </si>
  <si>
    <t>633/24062</t>
  </si>
  <si>
    <t>1.459 (1.333, 1.597)</t>
  </si>
  <si>
    <t>0.780 (0.763, 0.797)</t>
  </si>
  <si>
    <t>572/22262</t>
  </si>
  <si>
    <t>1.981 (1.801, 2.178)</t>
  </si>
  <si>
    <t>0.802 (0.785, 0.820)</t>
  </si>
  <si>
    <t>1.518 (1.393, 1.655)</t>
  </si>
  <si>
    <t>0.761 (0.750, 0.772)</t>
  </si>
  <si>
    <t>2.015 (1.836, 2.213)</t>
  </si>
  <si>
    <t>0.777 (0.765, 0.789)</t>
  </si>
  <si>
    <t>1.491 (1.402, 1.585)</t>
  </si>
  <si>
    <t>0.721 (0.706, 0.736)</t>
  </si>
  <si>
    <t>1.615 (1.502, 1.736)</t>
  </si>
  <si>
    <t>0.725 (0.708, 0.742)</t>
  </si>
  <si>
    <t>1.522 (1.390, 1.667)</t>
  </si>
  <si>
    <t>0.786 (0.769, 0.803)</t>
  </si>
  <si>
    <t>1.972 (1.795, 2.167)</t>
  </si>
  <si>
    <t>0.805 (0.788, 0.822)</t>
  </si>
  <si>
    <t>1.366 (1.253, 1.490)</t>
  </si>
  <si>
    <t>0.787 (0.777, 0.797)</t>
  </si>
  <si>
    <t>1.813 (1.651, 1.992)</t>
  </si>
  <si>
    <t>1.372 (1.287, 1.461)</t>
  </si>
  <si>
    <t>0.753 (0.739, 0.768)</t>
  </si>
  <si>
    <t>1.473 (1.367, 1.588)</t>
  </si>
  <si>
    <t>0.754 (0.737, 0.770)</t>
  </si>
  <si>
    <t>1.313 (1.198, 1.440)</t>
  </si>
  <si>
    <t>0.810 (0.794, 0.827)</t>
  </si>
  <si>
    <t>1.707 (1.549, 1.881)</t>
  </si>
  <si>
    <t>0.823 (0.807, 0.840)</t>
  </si>
  <si>
    <t>0.621 (0.598, 0.644)</t>
  </si>
  <si>
    <t>54/7690</t>
  </si>
  <si>
    <t>0.659 (0.635, 0.683)</t>
  </si>
  <si>
    <t>147/25530</t>
  </si>
  <si>
    <t>0.675 (0.655, 0.695)</t>
  </si>
  <si>
    <t>1.511 (0.979, 2.333)</t>
  </si>
  <si>
    <t>204/19155</t>
  </si>
  <si>
    <t>3.338 (1.044, 10.66)</t>
  </si>
  <si>
    <t>204/14931</t>
  </si>
  <si>
    <t>3.163 (2.350, 4.257)</t>
  </si>
  <si>
    <t>2.199 (1.323, 3.653)</t>
  </si>
  <si>
    <t>183/11433</t>
  </si>
  <si>
    <t>6.834 (2.165, 21.58)</t>
  </si>
  <si>
    <t>268/9984</t>
  </si>
  <si>
    <t>7.530 (5.064, 11.19)</t>
  </si>
  <si>
    <t>0.585 (0.556, 0.615)</t>
  </si>
  <si>
    <t>0.602 (0.568, 0.635)</t>
  </si>
  <si>
    <t>156/14527</t>
  </si>
  <si>
    <t>0.632 (0.606, 0.657)</t>
  </si>
  <si>
    <t>1.485 (1.142, 1.931)</t>
  </si>
  <si>
    <t>110/6404</t>
  </si>
  <si>
    <t>1.664 (1.215, 2.280)</t>
  </si>
  <si>
    <t>96/4724</t>
  </si>
  <si>
    <t>2.105 (1.631, 2.717)</t>
  </si>
  <si>
    <t>2.137 (1.605, 2.847)</t>
  </si>
  <si>
    <t>99/3159</t>
  </si>
  <si>
    <t>2.920 (2.105, 4.051)</t>
  </si>
  <si>
    <t>148/4761</t>
  </si>
  <si>
    <t>3.569 (2.844, 4.481)</t>
  </si>
  <si>
    <t>45/7291</t>
  </si>
  <si>
    <t>0.568 (0.526, 0.611)</t>
  </si>
  <si>
    <t>0.644 (0.605, 0.683)</t>
  </si>
  <si>
    <t>31/10403</t>
  </si>
  <si>
    <t>0.686 (0.654, 0.718)</t>
  </si>
  <si>
    <t>92/12051</t>
  </si>
  <si>
    <t>1.098 (0.760, 1.585)</t>
  </si>
  <si>
    <t>1.830 (1.235, 2.710)</t>
  </si>
  <si>
    <t>90/10812</t>
  </si>
  <si>
    <t>2.937 (1.951, 4.420)</t>
  </si>
  <si>
    <t>54/4720</t>
  </si>
  <si>
    <t>1.521 (0.999, 2.315)</t>
  </si>
  <si>
    <t>2.762 (1.942, 3.928)</t>
  </si>
  <si>
    <t>98/5218</t>
  </si>
  <si>
    <t>7.364 (4.905, 11.05)</t>
  </si>
  <si>
    <t>0.652 (0.639, 0.665)</t>
  </si>
  <si>
    <t>0.699 (0.685, 0.712)</t>
  </si>
  <si>
    <t>166/15577</t>
  </si>
  <si>
    <t>0.708 (0.697, 0.718)</t>
  </si>
  <si>
    <t>630/13646</t>
  </si>
  <si>
    <t>1.274 (1.062, 1.529)</t>
  </si>
  <si>
    <t>2.233 (1.736, 2.873)</t>
  </si>
  <si>
    <t>939/25302</t>
  </si>
  <si>
    <t>3.697 (3.080, 4.436)</t>
  </si>
  <si>
    <t>2.180 (1.777, 2.674)</t>
  </si>
  <si>
    <t>6.261 (4.839, 8.101)</t>
  </si>
  <si>
    <t>909/9566</t>
  </si>
  <si>
    <t>10.48 (8.201, 13.40)</t>
  </si>
  <si>
    <t>280/8876</t>
  </si>
  <si>
    <t>0.628 (0.612, 0.645)</t>
  </si>
  <si>
    <t>196/6576</t>
  </si>
  <si>
    <t>0.660 (0.642, 0.679)</t>
  </si>
  <si>
    <t>235/9795</t>
  </si>
  <si>
    <t>0.675 (0.661, 0.690)</t>
  </si>
  <si>
    <t>1.501 (1.289, 1.747)</t>
  </si>
  <si>
    <t>227/4832</t>
  </si>
  <si>
    <t>1.718 (1.406, 2.099)</t>
  </si>
  <si>
    <t>530/9761</t>
  </si>
  <si>
    <t>2.147 (1.841, 2.505)</t>
  </si>
  <si>
    <t>2.805 (2.397, 3.284)</t>
  </si>
  <si>
    <t>451/4608</t>
  </si>
  <si>
    <t>3.357 (2.800, 4.024)</t>
  </si>
  <si>
    <t>527/4456</t>
  </si>
  <si>
    <t>4.425 (3.790, 5.166)</t>
  </si>
  <si>
    <t>0.625 (0.603, 0.647)</t>
  </si>
  <si>
    <t>0.706 (0.684, 0.728)</t>
  </si>
  <si>
    <t>128/13460</t>
  </si>
  <si>
    <t>0.718 (0.705, 0.730)</t>
  </si>
  <si>
    <t>1.265 (0.978, 1.637)</t>
  </si>
  <si>
    <t>2.329 (1.907, 2.843)</t>
  </si>
  <si>
    <t>371/10489</t>
  </si>
  <si>
    <t>3.505 (2.866, 4.287)</t>
  </si>
  <si>
    <t>2.214 (1.677, 2.923)</t>
  </si>
  <si>
    <t>5.496 (4.446, 6.796)</t>
  </si>
  <si>
    <t>223/2484</t>
  </si>
  <si>
    <t>8.249 (6.625, 10.27)</t>
  </si>
  <si>
    <t>1.216 (1.042, 1.419)</t>
  </si>
  <si>
    <t>0.623 (0.599, 0.646)</t>
  </si>
  <si>
    <t>1.724 (1.452, 2.046)</t>
  </si>
  <si>
    <t>0.674 (0.649, 0.697)</t>
  </si>
  <si>
    <t>619/50445</t>
  </si>
  <si>
    <t>2.699 (2.311, 3.150)</t>
  </si>
  <si>
    <t>0.693 (0.674, 0.712)</t>
  </si>
  <si>
    <t>1.298 (1.165, 1.447)</t>
  </si>
  <si>
    <t>0.578 (0.549, 0.608)</t>
  </si>
  <si>
    <t>1.533 (1.348, 1.743)</t>
  </si>
  <si>
    <t>0.626 (0.592, 0.659)</t>
  </si>
  <si>
    <t>400/24012</t>
  </si>
  <si>
    <t>2.238 (1.970, 2.543)</t>
  </si>
  <si>
    <t>0.645 (0.619, 0.671)</t>
  </si>
  <si>
    <t>1.188 (1.011, 1.398)</t>
  </si>
  <si>
    <t>0.572 (0.530, 0.613)</t>
  </si>
  <si>
    <t>1.707 (1.434, 2.029)</t>
  </si>
  <si>
    <t>0.649 (0.608, 0.690)</t>
  </si>
  <si>
    <t>219/26433</t>
  </si>
  <si>
    <t>2.241 (2.092, 2.400)</t>
  </si>
  <si>
    <t>0.706 (0.674, 0.738)</t>
  </si>
  <si>
    <t>Admission incident</t>
  </si>
  <si>
    <t>1.397 (1.281, 1.523)</t>
  </si>
  <si>
    <t>0.657 (0.643, 0.669)</t>
  </si>
  <si>
    <t>2.244 (2.045, 2.462)</t>
  </si>
  <si>
    <t>0.713 (0.699, 0.726)</t>
  </si>
  <si>
    <t>2014/50445</t>
  </si>
  <si>
    <t>2.562 (2.362, 2.779)</t>
  </si>
  <si>
    <t>0.728 (0.717, 0.738)</t>
  </si>
  <si>
    <t>1.491 (1.406, 1.582)</t>
  </si>
  <si>
    <t>0.633 (0.616, 0.650)</t>
  </si>
  <si>
    <t>1.745 (1.627, 1.871)</t>
  </si>
  <si>
    <t>0.668 (0.649, 0.686)</t>
  </si>
  <si>
    <t>1292/24012</t>
  </si>
  <si>
    <t>2.691 (2.302, 3.145)</t>
  </si>
  <si>
    <t>0.690 (0.675, 0.704)</t>
  </si>
  <si>
    <t>1.357 (1.240, 1.484)</t>
  </si>
  <si>
    <t>0.626 (0.604, 0.649)</t>
  </si>
  <si>
    <t>2.221 (2.022, 2.439)</t>
  </si>
  <si>
    <t>0.713 (0.691, 0.735)</t>
  </si>
  <si>
    <t>722/26433</t>
  </si>
  <si>
    <t>2.549 (2.349, 2.767)</t>
  </si>
  <si>
    <t>0.743 (0.724, 0.760)</t>
  </si>
  <si>
    <t>Cox model</t>
  </si>
  <si>
    <t xml:space="preserve">Imaging-incident T2D </t>
  </si>
  <si>
    <t xml:space="preserve">Admission-incident T2D </t>
  </si>
  <si>
    <t>DeLong p</t>
  </si>
  <si>
    <t>NRI</t>
  </si>
  <si>
    <t>IDI</t>
  </si>
  <si>
    <t>WHR+spine BMFF</t>
  </si>
  <si>
    <t>0.700 (0.679, 0.720)</t>
  </si>
  <si>
    <t>0.738 (0.727, 0.750)</t>
  </si>
  <si>
    <t>WHR+PC2</t>
  </si>
  <si>
    <t>0.720 (0.698, 0.742)</t>
  </si>
  <si>
    <t>0.760 (0.748, 0.772)</t>
  </si>
  <si>
    <t>0.690 (0.676, 0.704)</t>
  </si>
  <si>
    <t>0.652 (0.625, 0.680)</t>
  </si>
  <si>
    <t>0.708 (0.693, 0.724)</t>
  </si>
  <si>
    <t>0.660 (0.628, 0.692)</t>
  </si>
  <si>
    <t>0.715 (0.697, 0.733)</t>
  </si>
  <si>
    <t>0.706 (0.671, 0.740)</t>
  </si>
  <si>
    <t>0.745 (0.727, 0.764)</t>
  </si>
  <si>
    <t>0.728 (0.693, 0.763)</t>
  </si>
  <si>
    <t>0.775 (0.757, 0.793)</t>
  </si>
  <si>
    <t>Model 4</t>
  </si>
  <si>
    <t>38616 (2003/36613)</t>
  </si>
  <si>
    <t>18526 (1305/17221)</t>
  </si>
  <si>
    <t>20090 (698/19392)</t>
  </si>
  <si>
    <t>1.398 (1.325, 1.476)</t>
  </si>
  <si>
    <t>1.395 (1.307, 1.490)</t>
  </si>
  <si>
    <t>1.391 (1.267, 1.527)</t>
  </si>
  <si>
    <t>1.440 (1.36, 1.525)</t>
  </si>
  <si>
    <t>36292 (1912/34380)</t>
  </si>
  <si>
    <t>0.794 (0.752, 0.84)</t>
  </si>
  <si>
    <t>16788 (1233/15555)</t>
  </si>
  <si>
    <t>0.821 (0.77, 0.876)</t>
  </si>
  <si>
    <t>0.711 (0.639, 0.79)</t>
  </si>
  <si>
    <t>19504 (679/18825)</t>
  </si>
  <si>
    <t>0.779 (0.736, 0.824)</t>
  </si>
  <si>
    <t>36321 (1830/34491)</t>
  </si>
  <si>
    <t>16413 (1152/15261)</t>
  </si>
  <si>
    <t>19908 (678/19230)</t>
  </si>
  <si>
    <t>0.805 (0.752, 0.862)</t>
  </si>
  <si>
    <t>0.728 (0.659, 0.804)</t>
  </si>
  <si>
    <t>35445 (1796/33649)</t>
  </si>
  <si>
    <t>15850 (1136/14714)</t>
  </si>
  <si>
    <t>19595 (660/18935)</t>
  </si>
  <si>
    <t>0.909 (0.86, 0.96)</t>
  </si>
  <si>
    <t>0.92 (0.861, 0.983)</t>
  </si>
  <si>
    <t>0.871 (0.79, 0.96)</t>
  </si>
  <si>
    <t>32553 (1632/30921)</t>
  </si>
  <si>
    <t>13935 (1009/12926)</t>
  </si>
  <si>
    <t>18618 (623/17995)</t>
  </si>
  <si>
    <t>1.541 (1.451, 1.637)</t>
  </si>
  <si>
    <t>1.477 (1.369, 1.594)</t>
  </si>
  <si>
    <t>1.636 (1.483, 1.806)</t>
  </si>
  <si>
    <t>1.654 (1.556, 1.759)</t>
  </si>
  <si>
    <t>1.57 (1.453, 1.696)</t>
  </si>
  <si>
    <t>1.787 (1.616, 1.977)</t>
  </si>
  <si>
    <t>1.16 (1.092, 1.233)</t>
  </si>
  <si>
    <t>1.146 (1.063, 1.236)</t>
  </si>
  <si>
    <t>1.204 (1.087, 1.335)</t>
  </si>
  <si>
    <t>0.744 (0.698, 0.792)</t>
  </si>
  <si>
    <t>0.747 (0.693, 0.806)</t>
  </si>
  <si>
    <t>0.715 (0.638, 0.801)</t>
  </si>
  <si>
    <t>-0.373 (-0.387, -0.359)</t>
  </si>
  <si>
    <t>-0.316 (-0.329, -0.304)</t>
  </si>
  <si>
    <t>-0.214 (-0.229, -0.2)</t>
  </si>
  <si>
    <t>-1.581 (-1.64, -1.521)</t>
  </si>
  <si>
    <t>-1.668 (-1.733, -1.603)</t>
  </si>
  <si>
    <t>-0.824 (-0.878, -0.77)</t>
  </si>
  <si>
    <t>-1.11 (-1.17, -1.049)</t>
  </si>
  <si>
    <t>-1.137 (-1.205, -1.069)</t>
  </si>
  <si>
    <t>-0.561 (-0.617, -0.506)</t>
  </si>
  <si>
    <t>-0.255 (-0.269, -0.241)</t>
  </si>
  <si>
    <t>-0.208 (-0.222, -0.195)</t>
  </si>
  <si>
    <t>-0.137 (-0.152, -0.122)</t>
  </si>
  <si>
    <t>0.301 (0.288, 0.314)</t>
  </si>
  <si>
    <t>0.283 (0.269, 0.296)</t>
  </si>
  <si>
    <t>0.17 (0.155, 0.185)</t>
  </si>
  <si>
    <t>1.295 (1.239, 1.35)</t>
  </si>
  <si>
    <t>1.39 (1.328, 1.452)</t>
  </si>
  <si>
    <t>0.663 (0.606, 0.719)</t>
  </si>
  <si>
    <t>0.798 (0.741, 0.855)</t>
  </si>
  <si>
    <t>0.836 (0.771, 0.901)</t>
  </si>
  <si>
    <t>0.345 (0.287, 0.403)</t>
  </si>
  <si>
    <t>0.176 (0.163, 0.19)</t>
  </si>
  <si>
    <t>0.159 (0.146, 0.173)</t>
  </si>
  <si>
    <t>0.079 (0.064, 0.094)</t>
  </si>
  <si>
    <t>0.105 (0.092, 0.119)</t>
  </si>
  <si>
    <t>0.09 (0.076, 0.103)</t>
  </si>
  <si>
    <t>0.115 (0.1, 0.131)</t>
  </si>
  <si>
    <t>0.379 (0.323, 0.436)</t>
  </si>
  <si>
    <t>0.361 (0.298, 0.424)</t>
  </si>
  <si>
    <t>0.446 (0.388, 0.504)</t>
  </si>
  <si>
    <t>0.599 (0.545, 0.652)</t>
  </si>
  <si>
    <t>0.57 (0.511, 0.629)</t>
  </si>
  <si>
    <t>0.559 (0.503, 0.615)</t>
  </si>
  <si>
    <t>0.159 (0.147, 0.172)</t>
  </si>
  <si>
    <t>0.135 (0.123, 0.148)</t>
  </si>
  <si>
    <t>0.147 (0.132, 0.161)</t>
  </si>
  <si>
    <t>0.094 (0.085, 0.103)</t>
  </si>
  <si>
    <t>0.121 (0.109, 0.133)</t>
  </si>
  <si>
    <t>0.087 (0.074, 0.1)</t>
  </si>
  <si>
    <t>0.009 (0.008, 0.009)</t>
  </si>
  <si>
    <t>0.01 (0.009, 0.01)</t>
  </si>
  <si>
    <t>0.005 (0.004, 0.006)</t>
  </si>
  <si>
    <t>0.096 (0.086, 0.105)</t>
  </si>
  <si>
    <t>0.129 (0.117, 0.142)</t>
  </si>
  <si>
    <t>0.08 (0.067, 0.092)</t>
  </si>
  <si>
    <t>-0.005 (-0.006, -0.004)</t>
  </si>
  <si>
    <t>-0.004 (-0.004, -0.003)</t>
  </si>
  <si>
    <t>-0.034 (-0.044, -0.024)</t>
  </si>
  <si>
    <t>-0.06 (-0.072, -0.047)</t>
  </si>
  <si>
    <t>-0.055 (-0.067, -0.042)</t>
  </si>
  <si>
    <t>-0.041 (-0.052, -0.031)</t>
  </si>
  <si>
    <t>-0.054 (-0.067, -0.041)</t>
  </si>
  <si>
    <t>-0.077 (-0.09, -0.065)</t>
  </si>
  <si>
    <t>0.003 (-0.007, 0.012)</t>
  </si>
  <si>
    <t>0.021 (0.008, 0.034)</t>
  </si>
  <si>
    <t>0.024 (0.011, 0.036)</t>
  </si>
  <si>
    <t>0.003 (0.002, 0.004)</t>
  </si>
  <si>
    <t>0.007 (-0.003, 0.017)</t>
  </si>
  <si>
    <t>0.01 (-0.004, 0.024)</t>
  </si>
  <si>
    <t>0.048 (0.035, 0.062)</t>
  </si>
  <si>
    <t>-0.058 (-0.066, -0.05)</t>
  </si>
  <si>
    <t>-0.042 (-0.051, -0.033)</t>
  </si>
  <si>
    <t>-0.026 (-0.036, -0.016)</t>
  </si>
  <si>
    <t>-0.037 (-0.042, -0.031)</t>
  </si>
  <si>
    <t>-0.04 (-0.048, -0.032)</t>
  </si>
  <si>
    <t>-0.03 (-0.04, -0.021)</t>
  </si>
  <si>
    <t>-0.004 (-0.014, 0.007)</t>
  </si>
  <si>
    <t>-0.022 (-0.028, -0.016)</t>
  </si>
  <si>
    <t>-0.007 (-0.012, -0.002)</t>
  </si>
  <si>
    <t>0 (-0.007, 0.007)</t>
  </si>
  <si>
    <t>-0.006 (-0.012, 0)</t>
  </si>
  <si>
    <t>-0.034 (-0.039, -0.029)</t>
  </si>
  <si>
    <t>-0.036 (-0.043, -0.029)</t>
  </si>
  <si>
    <t>-0.024 (-0.033, -0.016)</t>
  </si>
  <si>
    <t>-0.048 (-0.057, -0.039)</t>
  </si>
  <si>
    <t>-0.052 (-0.062, -0.042)</t>
  </si>
  <si>
    <t>-0.026 (-0.032, -0.019)</t>
  </si>
  <si>
    <t>-0.047 (-0.053, -0.041)</t>
  </si>
  <si>
    <t>-0.051 (-0.06, -0.043)</t>
  </si>
  <si>
    <t>-0.068 (-0.077, -0.058)</t>
  </si>
  <si>
    <t>-0.077 (-0.087, -0.067)</t>
  </si>
  <si>
    <t>0.199 (0.191, 0.206)</t>
  </si>
  <si>
    <t>0.21 (0.202, 0.218)</t>
  </si>
  <si>
    <t>0.162 (0.152, 0.172)</t>
  </si>
  <si>
    <t>0.106 (0.101, 0.111)</t>
  </si>
  <si>
    <t>0.112 (0.107, 0.117)</t>
  </si>
  <si>
    <t>0.194 (0.186, 0.201)</t>
  </si>
  <si>
    <t>0.208 (0.2, 0.216)</t>
  </si>
  <si>
    <t>0.155 (0.145, 0.164)</t>
  </si>
  <si>
    <t>0.101 (0.096, 0.107)</t>
  </si>
  <si>
    <t>0.111 (0.106, 0.115)</t>
  </si>
  <si>
    <t>0.111 (0.104, 0.118)</t>
  </si>
  <si>
    <t>-0.028 (-0.035, -0.022)</t>
  </si>
  <si>
    <t>-0.027 (-0.034, -0.021)</t>
  </si>
  <si>
    <t>-0.033 (-0.042, -0.025)</t>
  </si>
  <si>
    <t>0.01 (0.004, 0.017)</t>
  </si>
  <si>
    <t>-0.026 (-0.033, -0.019)</t>
  </si>
  <si>
    <t>-0.022 (-0.028, -0.015)</t>
  </si>
  <si>
    <t>0.041 (0.035, 0.048)</t>
  </si>
  <si>
    <t>0.002 (-0.005, 0.01)</t>
  </si>
  <si>
    <t>0.004 (-0.003, 0.01)</t>
  </si>
  <si>
    <t>-0.006 (-0.013, 0.001)</t>
  </si>
  <si>
    <t>-0.009 (-0.016, -0.002)</t>
  </si>
  <si>
    <t>-0.007 (-0.016, 0.002)</t>
  </si>
  <si>
    <t>-0.056 (-0.063, -0.048)</t>
  </si>
  <si>
    <t>-0.014 (-0.022, -0.006)</t>
  </si>
  <si>
    <t>0.001 (-0.005, 0.007)</t>
  </si>
  <si>
    <t>-0.015 (-0.022, -0.008)</t>
  </si>
  <si>
    <t>-0.015 (-0.021, -0.008)</t>
  </si>
  <si>
    <t>-0.002 (-0.01, 0.007)</t>
  </si>
  <si>
    <t>-0.04 (-0.048, -0.033)</t>
  </si>
  <si>
    <t>-0.035 (-0.042, -0.028)</t>
  </si>
  <si>
    <t>-0.027 (-0.036, -0.018)</t>
  </si>
  <si>
    <t>-0.089 (-0.096, -0.082)</t>
  </si>
  <si>
    <t>-0.046 (-0.054, -0.038)</t>
  </si>
  <si>
    <t>-0.021 (-0.028, -0.015)</t>
  </si>
  <si>
    <t>0.081 (0.075, 0.088)</t>
  </si>
  <si>
    <t>0.079 (0.072, 0.086)</t>
  </si>
  <si>
    <t>0.046 (0.039, 0.052)</t>
  </si>
  <si>
    <t>0.09 (0.084, 0.096)</t>
  </si>
  <si>
    <t>0.087 (0.081, 0.093)</t>
  </si>
  <si>
    <t>0.081 (0.072, 0.09)</t>
  </si>
  <si>
    <t>0.069 (0.062, 0.075)</t>
  </si>
  <si>
    <t>0.068 (0.062, 0.075)</t>
  </si>
  <si>
    <t>0.035 (0.029, 0.041)</t>
  </si>
  <si>
    <t>0.081 (0.074, 0.087)</t>
  </si>
  <si>
    <t>0.08 (0.074, 0.086)</t>
  </si>
  <si>
    <t>0.07 (0.062, 0.079)</t>
  </si>
  <si>
    <t>-0.129 (-0.151, -0.106)</t>
  </si>
  <si>
    <t>-0.12 (-0.144, -0.097)</t>
  </si>
  <si>
    <t>-0.164 (-0.189, -0.138)</t>
  </si>
  <si>
    <t>-0.068 (-0.078, -0.057)</t>
  </si>
  <si>
    <t>-0.069 (-0.081, -0.058)</t>
  </si>
  <si>
    <t>-0.084 (-0.096, -0.072)</t>
  </si>
  <si>
    <t>-0.06 (-0.083, -0.036)</t>
  </si>
  <si>
    <t>-0.052 (-0.077, -0.027)</t>
  </si>
  <si>
    <t>-0.11 (-0.137, -0.084)</t>
  </si>
  <si>
    <t>-0.035 (-0.047, -0.024)</t>
  </si>
  <si>
    <t>-0.036 (-0.047, -0.024)</t>
  </si>
  <si>
    <t>-0.06 (-0.073, -0.047)</t>
  </si>
  <si>
    <t>0.063 (0.039, 0.088)</t>
  </si>
  <si>
    <t>0.052 (0.027, 0.078)</t>
  </si>
  <si>
    <t>0.05 (0.025, 0.075)</t>
  </si>
  <si>
    <t>0.036 (0.024, 0.048)</t>
  </si>
  <si>
    <t>0.031 (0.019, 0.042)</t>
  </si>
  <si>
    <t>0.027 (0.015, 0.04)</t>
  </si>
  <si>
    <t>-0.014 (-0.039, 0.011)</t>
  </si>
  <si>
    <t>-0.022 (-0.049, 0.005)</t>
  </si>
  <si>
    <t>-0.005 (-0.031, 0.021)</t>
  </si>
  <si>
    <t>-0.001 (-0.013, 0.011)</t>
  </si>
  <si>
    <t>-0.003 (-0.015, 0.008)</t>
  </si>
  <si>
    <t>0.002 (-0.011, 0.014)</t>
  </si>
  <si>
    <t>0.217 (0.195, 0.238)</t>
  </si>
  <si>
    <t>0.218 (0.195, 0.24)</t>
  </si>
  <si>
    <t>0.291 (0.266, 0.317)</t>
  </si>
  <si>
    <t>0.104 (0.093, 0.114)</t>
  </si>
  <si>
    <t>0.115 (0.105, 0.126)</t>
  </si>
  <si>
    <t>0.147 (0.134, 0.159)</t>
  </si>
  <si>
    <t>0.184 (0.163, 0.206)</t>
  </si>
  <si>
    <t>0.19 (0.168, 0.213)</t>
  </si>
  <si>
    <t>0.268 (0.242, 0.293)</t>
  </si>
  <si>
    <t>0.088 (0.078, 0.099)</t>
  </si>
  <si>
    <t>0.101 (0.091, 0.112)</t>
  </si>
  <si>
    <t>0.136 (0.123, 0.148)</t>
  </si>
  <si>
    <t>0 (-0.008, 0.008)</t>
  </si>
  <si>
    <t>0.023 (0.012, 0.035)</t>
  </si>
  <si>
    <t>0.049 (0.037, 0.06)</t>
  </si>
  <si>
    <t>-0.012 (-0.017, -0.008)</t>
  </si>
  <si>
    <t>0.009 (0.005, 0.013)</t>
  </si>
  <si>
    <t>0.023 (0.017, 0.029)</t>
  </si>
  <si>
    <t>-0.045 (-0.049, -0.04)</t>
  </si>
  <si>
    <t>-0.017 (-0.021, -0.012)</t>
  </si>
  <si>
    <t>-0.01 (-0.016, -0.004)</t>
  </si>
  <si>
    <t>-0.046 (-0.058, -0.034)</t>
  </si>
  <si>
    <t>-0.022 (-0.034, -0.01)</t>
  </si>
  <si>
    <t>0.037 (0.032, 0.042)</t>
  </si>
  <si>
    <t>0.014 (0.009, 0.019)</t>
  </si>
  <si>
    <t>0.012 (0.007, 0.018)</t>
  </si>
  <si>
    <t>0.049 (0.04, 0.058)</t>
  </si>
  <si>
    <t>0.037 (0.025, 0.049)</t>
  </si>
  <si>
    <t>0.027 (0.015, 0.039)</t>
  </si>
  <si>
    <t>0.071 (0.066, 0.076)</t>
  </si>
  <si>
    <t>0.041 (0.036, 0.046)</t>
  </si>
  <si>
    <t>0.042 (0.037, 0.048)</t>
  </si>
  <si>
    <t>0.11 (0.101, 0.119)</t>
  </si>
  <si>
    <t>0.104 (0.092, 0.116)</t>
  </si>
  <si>
    <t>0.092 (0.08, 0.104)</t>
  </si>
  <si>
    <t>-0.043 (-0.047, -0.038)</t>
  </si>
  <si>
    <t>-0.049 (-0.053, -0.045)</t>
  </si>
  <si>
    <t>-0.083 (-0.088, -0.077)</t>
  </si>
  <si>
    <t>-0.092 (-0.1, -0.085)</t>
  </si>
  <si>
    <t>-0.13 (-0.141, -0.119)</t>
  </si>
  <si>
    <t>-0.173 (-0.185, -0.161)</t>
  </si>
  <si>
    <t>-0.029 (-0.034, -0.025)</t>
  </si>
  <si>
    <t>-0.04 (-0.044, -0.035)</t>
  </si>
  <si>
    <t>-0.07 (-0.075, -0.064)</t>
  </si>
  <si>
    <t>-0.069 (-0.076, -0.061)</t>
  </si>
  <si>
    <t>-0.105 (-0.116, -0.094)</t>
  </si>
  <si>
    <t>-0.146 (-0.157, -0.134)</t>
  </si>
  <si>
    <t>-0.084 (-0.151, -0.017)</t>
  </si>
  <si>
    <t>0.069 (0.003, 0.135)</t>
  </si>
  <si>
    <t>0.013 (-0.069, 0.096)</t>
  </si>
  <si>
    <t>-0.031 (-0.044, -0.019)</t>
  </si>
  <si>
    <t>-0.01 (-0.023, 0.003)</t>
  </si>
  <si>
    <t>0.001 (-0.013, 0.016)</t>
  </si>
  <si>
    <t>-0.005 (-0.019, 0.009)</t>
  </si>
  <si>
    <t>0.013 (-0.002, 0.029)</t>
  </si>
  <si>
    <t>-0.005 (-0.075, 0.066)</t>
  </si>
  <si>
    <t>0.1 (0.03, 0.171)</t>
  </si>
  <si>
    <t>0.115 (0.028, 0.201)</t>
  </si>
  <si>
    <t>-0.053 (-0.067, -0.04)</t>
  </si>
  <si>
    <t>-0.066 (-0.079, -0.053)</t>
  </si>
  <si>
    <t>-0.07 (-0.085, -0.056)</t>
  </si>
  <si>
    <t>-0.183 (-0.256, -0.11)</t>
  </si>
  <si>
    <t>-0.355 (-0.426, -0.284)</t>
  </si>
  <si>
    <t>-0.343 (-0.424, -0.262)</t>
  </si>
  <si>
    <t>-0.296 (-0.371, -0.221)</t>
  </si>
  <si>
    <t>-0.416 (-0.491, -0.341)</t>
  </si>
  <si>
    <t>-0.455 (-0.539, -0.371)</t>
  </si>
  <si>
    <t>-0.075 (-0.089, -0.061)</t>
  </si>
  <si>
    <t>-0.08 (-0.093, -0.066)</t>
  </si>
  <si>
    <t>-0.087 (-0.102, -0.072)</t>
  </si>
  <si>
    <t>0.755 (0.69, 0.82)</t>
  </si>
  <si>
    <t>0.718 (0.656, 0.78)</t>
  </si>
  <si>
    <t>0.657 (0.574, 0.74)</t>
  </si>
  <si>
    <t>0.216 (0.204, 0.228)</t>
  </si>
  <si>
    <t>0.19 (0.178, 0.202)</t>
  </si>
  <si>
    <t>0.741 (0.676, 0.807)</t>
  </si>
  <si>
    <t>0.728 (0.664, 0.791)</t>
  </si>
  <si>
    <t>0.63 (0.546, 0.714)</t>
  </si>
  <si>
    <t>0.192 (0.18, 0.204)</t>
  </si>
  <si>
    <t>0.137 (0.122, 0.151)</t>
  </si>
  <si>
    <t>-0.037 (-0.053, -0.022)</t>
  </si>
  <si>
    <t>-0.038 (-0.054, -0.022)</t>
  </si>
  <si>
    <t>-0.022 (-0.04, -0.004)</t>
  </si>
  <si>
    <t>-0.133 (-0.263, -0.002)</t>
  </si>
  <si>
    <t>-0.154 (-0.271, -0.038)</t>
  </si>
  <si>
    <t>-0.23 (-0.403, -0.058)</t>
  </si>
  <si>
    <t>-0.087 (-0.224, 0.05)</t>
  </si>
  <si>
    <t>-0.131 (-0.256, -0.006)</t>
  </si>
  <si>
    <t>-0.154 (-0.337, 0.03)</t>
  </si>
  <si>
    <t>-0.03 (-0.046, -0.014)</t>
  </si>
  <si>
    <t>-0.033 (-0.05, -0.017)</t>
  </si>
  <si>
    <t>-0.015 (-0.034, 0.004)</t>
  </si>
  <si>
    <t>-0.177 (-0.318, -0.036)</t>
  </si>
  <si>
    <t>-0.184 (-0.309, -0.058)</t>
  </si>
  <si>
    <t>-0.169 (-0.338, 0.001)</t>
  </si>
  <si>
    <t>-0.023 (-0.039, -0.006)</t>
  </si>
  <si>
    <t>-0.02 (-0.035, -0.004)</t>
  </si>
  <si>
    <t>-0.026 (-0.044, -0.008)</t>
  </si>
  <si>
    <t>-0.272 (-0.419, -0.125)</t>
  </si>
  <si>
    <t>-0.25 (-0.383, -0.117)</t>
  </si>
  <si>
    <t>-0.274 (-0.452, -0.096)</t>
  </si>
  <si>
    <t>-0.037 (-0.054, -0.02)</t>
  </si>
  <si>
    <t>-0.031 (-0.047, -0.015)</t>
  </si>
  <si>
    <t>-0.037 (-0.056, -0.018)</t>
  </si>
  <si>
    <t>0.765 (0.641, 0.89)</t>
  </si>
  <si>
    <t>0.846 (0.737, 0.955)</t>
  </si>
  <si>
    <t>0.874 (0.698, 1.049)</t>
  </si>
  <si>
    <t>0.157 (0.142, 0.171)</t>
  </si>
  <si>
    <t>0.149 (0.135, 0.164)</t>
  </si>
  <si>
    <t>0.103 (0.085, 0.121)</t>
  </si>
  <si>
    <t>0.76 (0.634, 0.886)</t>
  </si>
  <si>
    <t>0.851 (0.741, 0.962)</t>
  </si>
  <si>
    <t>0.85 (0.673, 1.027)</t>
  </si>
  <si>
    <t>0.156 (0.141, 0.17)</t>
  </si>
  <si>
    <t>0.102 (0.083, 0.12)</t>
  </si>
  <si>
    <t>0.798 (0.786, 0.809)</t>
  </si>
  <si>
    <t xml:space="preserve"> Characteristics of the complete regional BMFF measurement cohorts (study population with complete regional BMFF measurements)</t>
  </si>
  <si>
    <r>
      <t>Body mass index (BMI, kg/m</t>
    </r>
    <r>
      <rPr>
        <b/>
        <vertAlign val="superscript"/>
        <sz val="11"/>
        <color theme="1"/>
        <rFont val="Aptos Narrow"/>
        <family val="2"/>
        <scheme val="minor"/>
      </rPr>
      <t>2</t>
    </r>
    <r>
      <rPr>
        <b/>
        <sz val="11"/>
        <color theme="1"/>
        <rFont val="Aptos Narrow"/>
        <family val="2"/>
        <scheme val="minor"/>
      </rPr>
      <t>)</t>
    </r>
  </si>
  <si>
    <r>
      <t>Visceral adipose tissue volume index (VATi, L/m</t>
    </r>
    <r>
      <rPr>
        <b/>
        <vertAlign val="superscript"/>
        <sz val="11"/>
        <color theme="1"/>
        <rFont val="Aptos Narrow"/>
        <family val="2"/>
        <scheme val="minor"/>
      </rPr>
      <t>2</t>
    </r>
    <r>
      <rPr>
        <b/>
        <sz val="11"/>
        <color theme="1"/>
        <rFont val="Aptos Narrow"/>
        <family val="2"/>
        <scheme val="minor"/>
      </rPr>
      <t>)</t>
    </r>
  </si>
  <si>
    <r>
      <t>Abdominal subcutaneous adipose tissue volume index (ASATi, L/m</t>
    </r>
    <r>
      <rPr>
        <b/>
        <vertAlign val="superscript"/>
        <sz val="11"/>
        <color theme="1"/>
        <rFont val="Aptos Narrow"/>
        <family val="2"/>
        <scheme val="minor"/>
      </rPr>
      <t>2</t>
    </r>
    <r>
      <rPr>
        <b/>
        <sz val="11"/>
        <color theme="1"/>
        <rFont val="Aptos Narrow"/>
        <family val="2"/>
        <scheme val="minor"/>
      </rPr>
      <t>)</t>
    </r>
  </si>
  <si>
    <r>
      <t>Total-thigh fat-free muscle volume index (TTFFMVi, L/m</t>
    </r>
    <r>
      <rPr>
        <b/>
        <vertAlign val="superscript"/>
        <sz val="11"/>
        <color theme="1"/>
        <rFont val="Aptos Narrow"/>
        <family val="2"/>
        <scheme val="minor"/>
      </rPr>
      <t>2</t>
    </r>
    <r>
      <rPr>
        <b/>
        <sz val="11"/>
        <color theme="1"/>
        <rFont val="Aptos Narrow"/>
        <family val="2"/>
        <scheme val="minor"/>
      </rPr>
      <t>)</t>
    </r>
  </si>
  <si>
    <r>
      <t>BMD (g/cm</t>
    </r>
    <r>
      <rPr>
        <b/>
        <vertAlign val="superscript"/>
        <sz val="11"/>
        <color theme="1"/>
        <rFont val="Aptos Narrow"/>
        <family val="2"/>
        <scheme val="minor"/>
      </rPr>
      <t>2</t>
    </r>
    <r>
      <rPr>
        <b/>
        <sz val="11"/>
        <color theme="1"/>
        <rFont val="Aptos Narrow"/>
        <family val="2"/>
        <scheme val="minor"/>
      </rPr>
      <t>)</t>
    </r>
  </si>
  <si>
    <r>
      <t xml:space="preserve">Supplementary Table 1: Regional BMFF study population characteristics. </t>
    </r>
    <r>
      <rPr>
        <sz val="10"/>
        <color theme="1"/>
        <rFont val="Aptos Narrow"/>
        <family val="2"/>
        <scheme val="minor"/>
      </rPr>
      <t xml:space="preserve">The median±IQR values for regional BMFF, age, anthropometrics (BMI and WHR), body composition (VATi, ASATi, TTMFI and TTFFMVi – measured by MRI), regional bone mineral density (measured by DXA) and the number of prevalent, admission incident and imaging-incident T2D cases are presented. The BMFF measurements and age are reported in participants with complete measurements (no missing values), whereas the missing values in the remaining measurements (in the 'Trait' column) were imputed using multiple imputation prior to reporting on. To highlight the distinct differences in these measurements between males and females, univariate ANOVAs were conducted between males and females for all continuous traits (rank-normalized) and chi-squared analysis was carried out to test the sex-specific difference in T2D prevalence, admission incidence and imaging-incidence. </t>
    </r>
  </si>
  <si>
    <r>
      <t xml:space="preserve">Supplementary Table 4.5: Regional BMFF and multi-site measurements vs prevalent T2D logistic regression results. </t>
    </r>
    <r>
      <rPr>
        <sz val="11"/>
        <color rgb="FF000000"/>
        <rFont val="Aptos Narrow"/>
        <family val="2"/>
        <scheme val="minor"/>
      </rPr>
      <t>The summary statistics (adjusted odd's ratios (95% confidence intervals) and p-values) for each logistic regression model (model 1, 2 and 3 adjusted for sex, age and BMI; sex, age, BMI and whole-body/regional BMD; sex, age, whole-body/regional BMD, anthropometric/adiposity principal components and total-thigh fat-free muscle volume) between prevalent T2D (cases) and each multi-site measurement/regional BMFF in both sexes and stratified regressions in males and females separately. The total number of participants and the number of prevalent T2D cases and controls are shown.  Additionally, model 4 sensitivity analyses including Liver PDFF as a covariate (where the body composition principal components were re-caclulated after including liver PDFF) were carried out in a smaller subsection of the study cohort. The smaller sample size when including liver PDFF is due to the lower number of complete data available for liver PDFF compared to the other anthropometric and MRI-derived adiposity phenotypes. Bonferroni correction was applied to adjust for multiple comparison when comparing each BMFF region/multi-site measure separately in both sexes and males and females (p-value significance threshold = 0.05/8 [number of regional BMFF and multi-site measures] = 0.006).</t>
    </r>
  </si>
  <si>
    <r>
      <t xml:space="preserve">Supplementary Table 4.6: Variance inflation factors from each multivariate T2D regression. </t>
    </r>
    <r>
      <rPr>
        <sz val="11"/>
        <color rgb="FF000000"/>
        <rFont val="Aptos Narrow"/>
        <family val="2"/>
        <scheme val="minor"/>
      </rPr>
      <t>The variance inflation factor (VIF) values calculated for each exposure variable in the fully adjusted logistic regression model (model 3) between prevalent T2D and each multi-site measurement/regional BMFF. The 'Measurement' column contains the VIFs for each multi-site or regional BMFF measurement, the BMD column shows the VIFs for whole-body BMD (for the multi-site measurements) and BMD at the regions most proximal to the BMFF sites and the BC_PC1-5 columns contain the VIFs for the anthropometric/adiposity principal components.</t>
    </r>
  </si>
  <si>
    <r>
      <t xml:space="preserve">Supplementary Table 4.7: Effect estimate differences between complete-case and imputed BMD data model 2 adjusted regional BMFF and multi-site measurements vs prevalent T2D logistic regressions. </t>
    </r>
    <r>
      <rPr>
        <sz val="11"/>
        <color theme="1"/>
        <rFont val="Aptos Narrow"/>
        <family val="2"/>
        <scheme val="minor"/>
      </rPr>
      <t xml:space="preserve">The summary statistics for the imputed BMD and complete-case BMD analyses, and the difference in the effect estimates (odds ratio; OR) between them, for model 2 adjusted prevalent T2D logistic regressions. The median OR difference across all regressions is listed below the last row of the table. </t>
    </r>
  </si>
  <si>
    <r>
      <rPr>
        <b/>
        <sz val="11"/>
        <color theme="1"/>
        <rFont val="Aptos Narrow"/>
        <family val="2"/>
        <scheme val="minor"/>
      </rPr>
      <t>Supplementary Table 4.8: Regional BMFF and multi-site measurements vs anthropometric and body composition measurements linear regressions.</t>
    </r>
    <r>
      <rPr>
        <sz val="11"/>
        <color theme="1"/>
        <rFont val="Aptos Narrow"/>
        <family val="2"/>
        <scheme val="minor"/>
      </rPr>
      <t xml:space="preserve"> Multivariate linear regressions between BMFF in the spine, femoral head, total hip, diaphysis  and all multi-site measurements; PC1, PC1, Multi-site 1 and Spine:Femoral BMFF ratio (all rank-transformed normalised) adjusting for sex, age and BMI (Model 1) or sex, age, BMI and BMD at the respective skeletal sites (Model 2: spine BMD, femoral neck BMD, femoral trochanter BMD, femoral shaft BMD and whole-body BMD for BMFF in the spine, femoral head, total hip, diaphysis and PC2, respectively). Each vertical column on the far left-hand side indicates which exposure variable (regional BMFF and PC2) was used for the model 1 and 2 adjusted linear regressions. The following column names correspond to the respective definitions:  ‘Outcome’ ; The outcome variables in the linear regressions and their respective measurement units (BMI [body mass index, kg/m2], WHR [waist-hip-ratio, ratio], VATi [visceral adipose tissue index, L/m2], ASATi [adbominal subcutaneous adipose tissue index, L/m2], TTMFI [total-thigh muscle fat infiltration, %], TTFFMVi [total-thigh fat-free muscle volume index, L/m2], Liver PDFF [liver proton density fat-fraction, %], Pancreas PDFF [pancreas proton density fat-fraction, %]) ‘Sex’ : Each linear regression was carried out in both sexes and in males and females separately ; ‘n’ : the sample size of each respective linear regression (all missing values in the outcome variables apart from liver and pancreas PDFF were imputed using multiple imputation); ‘Beta (95% CI)’ : the regression coefficient and the 95% confidence interval for each multivariate linear regression (i.e., the change in the regression coefficient for every standard devation change in BMFF in the spine, femoral head, total hip, diaphysis and PC2) ; ‘R2’ : the adjusted R-squared values from each multivariate linear regression ; ‘P’ : the adjusted p-values from each multivariate linear regression (lowest threshold = 2e-16); ‘Rank-normalized outcome beta’ : the beta from the linear regressions between rank-normalised outcome and exposure variables, with the corresponding R-squared (‘R2’) and adjusted p-value (‘P’) for each regression. The rank-normalized outcome beta coefficients for BMI, WHR, VATi, ASATi, TTMFI an TTFFMVi are also shown in the forest plot below the table.  Bonferroni correction was applied to adjust for multiple comparison when comparing each outcome measurement separately for each BMFF region/multi-site measure in both sexes and males and females (p-value significance threshold = 0.05/8 [number of outcomes] = 0.006).</t>
    </r>
  </si>
  <si>
    <r>
      <t>Supplementary Table 4.9: Spine BMFF and PC2 tertiles vs incident T2D Cox-regressions.</t>
    </r>
    <r>
      <rPr>
        <sz val="11"/>
        <color theme="1"/>
        <rFont val="Aptos Narrow"/>
        <family val="2"/>
        <scheme val="minor"/>
      </rPr>
      <t xml:space="preserve"> The summary statistics (the number of incident T2D cases and controls, the hazard ratio and the 95% confidence intervals, the p-values and the k-fold cross-validated/optimism corrected area under the the receiver operating characteristic curves for each regression model) from the multivariate Cox regressions carried out between imaging or admission incident T2D as the outcome and tertiles of spine BMFF or PC2 (tertiles are derived from rank-normalised measurements of spine BMFF and PC2, where tertile 1 is the reference tertile from which the effect estimates and p-values for the second and third tertiles are relative to).  The regressions were carried out using covariates from adjustment models 1, 2 and 3 and conducted in both sexes (with sex as an interactive covariate) and separately in males and females (without sex as a covariate). Bonferroni correction was applied to adjust for multiple comparison when comparing each tertile separately for spine BMFF/PC2  in both sexes and males and females for each adjustment model and incidence type (p-value significance threshold = 0.05/3 [number of tertiles] = 0.017).</t>
    </r>
  </si>
  <si>
    <r>
      <t>Supplementary Table 4.10: Spine BMFF and PC2 vs incident T2D Cox-regressions.</t>
    </r>
    <r>
      <rPr>
        <sz val="11"/>
        <color theme="1"/>
        <rFont val="Aptos Narrow"/>
        <family val="2"/>
        <scheme val="minor"/>
      </rPr>
      <t xml:space="preserve"> The summary statistics (the number of incident T2D cases and controls, the hazard ratio and the 95% confidence intervals, the p-values and the k-fold cross-validated/optimism corrected area under the the receiver operating characteristic curves for each regression model) from the multivariate Cox regressions carried out between imaging or admission incident T2D as the outcome and spine BMFF or PC2 as the primary exposure variables (both rank-normalized).  The regressions were carried out using covariates from adjustment models 1, 2 and 3 and conducted in both sexes (with sex as an interactive covariate) and separately in males and females (without sex as a covariate). P-value significance threshold = 0.05 as no comparisons were made within each sex-stratified regression.</t>
    </r>
  </si>
  <si>
    <r>
      <t xml:space="preserve">Supplementary Table 4.11: Spine BMFF, PC2 and WHR  tertiles vs incident T2D Cox-regressions. </t>
    </r>
    <r>
      <rPr>
        <sz val="11"/>
        <color theme="1"/>
        <rFont val="Aptos Narrow"/>
        <family val="2"/>
        <scheme val="minor"/>
      </rPr>
      <t xml:space="preserve">The summary statistics (the number of incident T2D cases and controls, the hazard ratio and the 95% confidence intervals, the p-values and the k-fold cross-validated/optimism corrected area under the the receiver operating characteristic curves for each regression model) from the multivariate Cox regressions carried out between imaging or admission incident T2D as the outcome and tertiles of spine BMFF, PC2 or WHR (tertiles are derived from rank-normalised measurements of spine BMFF, PC2 and WHR, where tertile 1 is the reference tertile from which the effect estimates and p-values for the second and third tertiles are relative to).  The regressions were carried out with sex and age as covariates; using sex as an interactive covariate when running the regressions in both sexes and only adjusting for age when running the regressions separately in males and females. Bonferroni correction was applied to adjust for multiple comparison when comparing each tertile separately for spine BMFF/PC2  in both sexes and males and females for each adjustment model and incidence type (p-value significance threshold = 0.05/3 [number of tertiles] = 0.017).  </t>
    </r>
  </si>
  <si>
    <r>
      <t xml:space="preserve">Supplementary Table 4.12: Spine BMFF, PC2 and WHR vs incident T2D Cox-regressions. </t>
    </r>
    <r>
      <rPr>
        <sz val="11"/>
        <color theme="1"/>
        <rFont val="Aptos Narrow"/>
        <family val="2"/>
        <scheme val="minor"/>
      </rPr>
      <t>The summary statistics (the number of incident T2D cases and controls, the hazard ratio and the 95% confidence intervals, the p-values and the k-fold cross-validated/optimism corrected area under the the receiver operating characteristic curves for each regression model) from the multivariate Cox regressions carried out between imaging or admission incident T2D as the outcome and rank-normalised measurements of spine BMFF, PC2 or WHR. The regressions were carried out with sex and age as covariates; using sex as an interactive covariate when running the regressions in both sexes and only adjusting for age when running the regressions separately in males and females. P-value significance threshold = 0.05 as no comparisons were made within each sex-stratified regression.</t>
    </r>
  </si>
  <si>
    <r>
      <rPr>
        <b/>
        <sz val="11"/>
        <color theme="1"/>
        <rFont val="Aptos Narrow"/>
        <family val="2"/>
        <scheme val="minor"/>
      </rPr>
      <t>Supplementary Table 4.13: Predictive performance metrics of spine BMFF, PC2 and WHR vs incident T2D Cox-regression.</t>
    </r>
    <r>
      <rPr>
        <sz val="11"/>
        <color theme="1"/>
        <rFont val="Aptos Narrow"/>
        <family val="2"/>
        <scheme val="minor"/>
      </rPr>
      <t xml:space="preserve"> Performance metrics of the multivariate cox regression models with either imaging or admission incident T2D as the outcome are compared between WHR, WHR + spine BMFF or WHR + PC2 as the primary exposure variables. All models were run in both sexes (where they are adjusted for sex, as an interactive covariate, and age) and in males and females separately (where they are only adjusted for age). The k-fold cross-validated/optimism corrected area under the receiver operating characteristic curves (AUC, 95% CI) are shown for each model, and the DeLong test was used to determine if the AUCs between each model are significantly different (Bonferroni correction was applied to adjust for multiple comparison across the three pairwaise De-long tests; p-value significance threshold = 0.05/3 = 0.017). Additionally, continuous Net Reclassification Improvement (NRI) and Integrated Discrimination Improvement (IDI) values were calculated between the base model, using only WHR as the primary exposure variable, and the two models adding spine BMFF or PC2 as additional exposure variables to determine if the addition of either spine BMFF or PC2 improves the predictive performance compared to the base model (the same Bonferroni correction was applied to adjust for multiple comparison; significance threshold = 0.017). The AUC calculations and DeLong tests were run using an unpaired approach, where data available for complete-case analysis for imaging and admission incident T2D merged with WHR (n=51,064 and n=52,459 for imaging and admission incident T2D, respectively) spine BMFF (n=46,354 and n=47,586 for imaging and admission incident T2D, respectively) and PC2 (n=38,719 and n=39,967 for imaging and admission incident T2D, respectively) were used. The NRI and IDI calculation were run using data available for complete-cases analyses after merging the imaging and admission incident data frames of WHR with spine BMFF and PC2 (i.e., using paired data as required prior to NRI and IDI calculation: http://www.genabel.org/packages/PredictABEL) ; n(WHR+spine BMFF imaging incident T2D) = 45,369, n(WHR+spine BMFF admission incident T2D) = 46,581, n(WHR+PC2 imaging incident T2D) = 37,877, n(WHR+PC2 admission incident T2D) = 38,841. Significant p-values and asociated NRI and IDI values are highlighted in bold.</t>
    </r>
  </si>
  <si>
    <t>BMD measurement</t>
  </si>
  <si>
    <t>BMA measurement</t>
  </si>
  <si>
    <t>Whole body BMD</t>
  </si>
  <si>
    <t>Spine BMD</t>
  </si>
  <si>
    <t>Femoral neck BMD</t>
  </si>
  <si>
    <t>Femoral trochanter BMD</t>
  </si>
  <si>
    <t>Femoral shaft BMD</t>
  </si>
  <si>
    <t>Profiling the distribution of bone marrow adiposity and summary statistics of multi-site measurement analyses</t>
  </si>
  <si>
    <t>Testing if the missing regional BMD data are missing at random</t>
  </si>
  <si>
    <t>2 (ST4.1_Cohort characteristics)</t>
  </si>
  <si>
    <t>3 (ST4.2_4.3_BMA distribution + multi-site)</t>
  </si>
  <si>
    <t>4 (ST4.4_Missing BMD data analyses)</t>
  </si>
  <si>
    <t>5 (ST4.5_4.6_T2D logs)</t>
  </si>
  <si>
    <t>7 (ST4.8_BMFF multi-site lin.regs.)</t>
  </si>
  <si>
    <t>8 (ST4.9_4.10_T2D Cox regressions)</t>
  </si>
  <si>
    <t>Supplementary table 4.1</t>
  </si>
  <si>
    <t>Supplementary tables 4.2 and 4.3</t>
  </si>
  <si>
    <t>Supplementary table 4.4</t>
  </si>
  <si>
    <t xml:space="preserve">Supplementary tables 4.5 and 4.6  </t>
  </si>
  <si>
    <t>Supplementary table 4.7</t>
  </si>
  <si>
    <t>Supplementary table 4.8</t>
  </si>
  <si>
    <t xml:space="preserve">Supplementary tables 4.9 and 4.10 </t>
  </si>
  <si>
    <t>Supplementary tables 4.11 and 4.12</t>
  </si>
  <si>
    <t>Supplementary table 4.13</t>
  </si>
  <si>
    <r>
      <rPr>
        <b/>
        <sz val="11"/>
        <color theme="1"/>
        <rFont val="Aptos Narrow"/>
        <family val="2"/>
        <scheme val="minor"/>
      </rPr>
      <t xml:space="preserve">Supplementary Table 4.2: Multi-site measurements vs regional BMFF linear regression results. </t>
    </r>
    <r>
      <rPr>
        <sz val="11"/>
        <color theme="1"/>
        <rFont val="Aptos Narrow"/>
        <family val="2"/>
        <scheme val="minor"/>
      </rPr>
      <t>Summary statistics from the univariate linear regressions carried out between each multi-site measurement (as the outcome) and regional BMFF in 40,363 participants. All variables rank-normalised prior to regression to allow for direct comparison of effect estimates. Bonferroni correction was applied to adjust for multiple comparison when comparing each multi-site measure across males and females (p-value significance threshold = 0.05/4 [number of multi-site measures] = 0.013).</t>
    </r>
  </si>
  <si>
    <r>
      <t xml:space="preserve">Supplementary Table 4.3: Multi-site measurements vs BMFF distribution groups ANOVA results. </t>
    </r>
    <r>
      <rPr>
        <sz val="11"/>
        <color theme="1"/>
        <rFont val="Aptos Narrow"/>
        <family val="2"/>
        <scheme val="minor"/>
      </rPr>
      <t>The median±IQR values for each multi-site measurement across the BMFF distribution groups (matched to the figure below ) in both sexes and in males and females separately (40,363 participants in total). The effect sizes (Omega</t>
    </r>
    <r>
      <rPr>
        <vertAlign val="superscript"/>
        <sz val="11"/>
        <color theme="1"/>
        <rFont val="Aptos Narrow"/>
        <family val="2"/>
        <scheme val="minor"/>
      </rPr>
      <t>2</t>
    </r>
    <r>
      <rPr>
        <sz val="11"/>
        <color theme="1"/>
        <rFont val="Aptos Narrow"/>
        <family val="2"/>
        <scheme val="minor"/>
      </rPr>
      <t>), the ratio of variances (F-statistic) and p-values for each univariate ANOVA carried out between each measurement and the BMFF distribution groups are shown under 'ANOVA results' . Bonferroni correction was applied to adjust for multiple comparison when comparing each multi-site measure across males and females (p-value significance threshold = 0.05/4 [number of multi-site measures] = 0.013).</t>
    </r>
  </si>
  <si>
    <t>6 (ST4.7_T2D logs BMD imp v no imp)</t>
  </si>
  <si>
    <t>9 (ST4.11_4.12_T2D WHR Cox regs)</t>
  </si>
  <si>
    <t>10 (ST4.13_T2D WHR Cox model comp)</t>
  </si>
  <si>
    <t>Rank-normalized outcome beta (95% CI)</t>
  </si>
  <si>
    <r>
      <rPr>
        <b/>
        <sz val="11"/>
        <color theme="1"/>
        <rFont val="Aptos Narrow"/>
        <family val="2"/>
        <scheme val="minor"/>
      </rPr>
      <t>Supplementary Table 4.4:</t>
    </r>
    <r>
      <rPr>
        <sz val="11"/>
        <color theme="1"/>
        <rFont val="Aptos Narrow"/>
        <family val="2"/>
        <scheme val="minor"/>
      </rPr>
      <t xml:space="preserve"> Assessing the mechanisms of BMD data missingness. Missing BMD values for BMFF in the corresponding skeletal regions (whole-body BMD used for each multi-site measurement) showing the total number of participants (n) in each regional BMFF cohort in whom complete electronic health care record data are available and the number of missing BMD values (missing). The p-values from the ANOVA tests using the missing status of the BMD data as the explanatory variable (i.e., missing or complete) against each continuous outcome variable in the 'Outcomes' column are reported. The p-values fom the X2 test between the missing values statuses and sex are shown. The  p-values from the Little's test (carried out using the nainar R package, v1.1.0) indicate the likelyhood that the data are missing completely at random (null hypethesis = data are missing completely at random). Bonferroni correction was applied to adjust for multiple comparison when comparing each outcome (p-value significance threshold = 0.05/4 [number of outcomes for spine, femoral neck, femoral trochanter and femoral shaft BMD] = 0.013 and 0.05/7 [number of outcomes for whole-body BMD] = 0.007).</t>
    </r>
  </si>
  <si>
    <r>
      <t>BMI (kg/m</t>
    </r>
    <r>
      <rPr>
        <vertAlign val="superscript"/>
        <sz val="11"/>
        <color rgb="FF000000"/>
        <rFont val="Aptos Narrow"/>
        <family val="2"/>
        <scheme val="minor"/>
      </rPr>
      <t>2</t>
    </r>
    <r>
      <rPr>
        <sz val="11"/>
        <color rgb="FF000000"/>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</si>
</sst>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10"/>
      <color theme="1"/>
      <name val="Aptos Narrow"/>
      <family val="2"/>
      <scheme val="minor"/>
    </font>
    <font>
      <b/>
      <sz val="10"/>
      <color theme="1"/>
      <name val="Aptos Narrow"/>
      <family val="2"/>
      <scheme val="minor"/>
    </font>
    <font>
      <sz val="8"/>
      <name val="Aptos Narrow"/>
      <family val="2"/>
      <scheme val="minor"/>
    </font>
    <font>
      <b/>
      <sz val="11"/>
      <color theme="1"/>
      <name val="Aptos Narrow"/>
      <family val="2"/>
    </font>
    <font>
      <b/>
      <vertAlign val="superscript"/>
      <sz val="11"/>
      <color theme="1"/>
      <name val="Aptos Narrow"/>
      <family val="2"/>
      <scheme val="minor"/>
    </font>
    <font>
      <vertAlign val="superscript"/>
      <sz val="11"/>
      <color theme="1"/>
      <name val="Aptos Narrow"/>
      <family val="2"/>
      <scheme val="minor"/>
    </font>
    <font>
      <sz val="11"/>
      <color theme="1"/>
      <name val="Aptos Narrow"/>
      <family val="2"/>
    </font>
    <font>
      <sz val="11"/>
      <color rgb="FF000000"/>
      <name val="Aptos Narrow"/>
      <family val="2"/>
      <scheme val="minor"/>
    </font>
    <font>
      <b/>
      <sz val="11"/>
      <color rgb="FF000000"/>
      <name val="Aptos Narrow"/>
      <family val="2"/>
      <scheme val="minor"/>
    </font>
    <font>
      <b/>
      <i/>
      <sz val="11"/>
      <color rgb="FF000000"/>
      <name val="Aptos Narrow"/>
      <family val="2"/>
      <scheme val="minor"/>
    </font>
    <font>
      <vertAlign val="superscript"/>
      <sz val="11"/>
      <color rgb="FF000000"/>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s>
  <borders count="24">
    <border>
      <left/>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s>
  <cellStyleXfs count="1">
    <xf numFmtId="0" fontId="0" fillId="0" borderId="0"/>
  </cellStyleXfs>
  <cellXfs count="153">
    <xf numFmtId="0" fontId="0" fillId="0" borderId="0" xfId="0"/>
    <xf numFmtId="0" fontId="2" fillId="0" borderId="0" xfId="0" applyFont="1"/>
    <xf numFmtId="11" fontId="0" fillId="0" borderId="0" xfId="0" applyNumberFormat="1"/>
    <xf numFmtId="0" fontId="1" fillId="0" borderId="0" xfId="0" applyFont="1"/>
    <xf numFmtId="0" fontId="3" fillId="0" borderId="0" xfId="0" applyFont="1" applyAlignment="1">
      <alignment horizontal="left"/>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left"/>
    </xf>
    <xf numFmtId="0" fontId="1" fillId="0" borderId="1" xfId="0" applyFont="1" applyBorder="1"/>
    <xf numFmtId="0" fontId="0" fillId="0" borderId="1" xfId="0" applyBorder="1" applyAlignment="1">
      <alignment horizontal="left"/>
    </xf>
    <xf numFmtId="0" fontId="1" fillId="0" borderId="3" xfId="0" applyFont="1" applyBorder="1"/>
    <xf numFmtId="11" fontId="0" fillId="0" borderId="3" xfId="0" applyNumberFormat="1" applyBorder="1" applyAlignment="1">
      <alignment horizontal="left"/>
    </xf>
    <xf numFmtId="0" fontId="1" fillId="0" borderId="0" xfId="0" applyFont="1" applyAlignment="1">
      <alignment horizontal="center" vertical="center"/>
    </xf>
    <xf numFmtId="0" fontId="1" fillId="0" borderId="6" xfId="0" applyFont="1" applyBorder="1" applyAlignment="1">
      <alignment horizontal="left"/>
    </xf>
    <xf numFmtId="0" fontId="0" fillId="0" borderId="5" xfId="0" applyBorder="1" applyAlignment="1">
      <alignment horizontal="left"/>
    </xf>
    <xf numFmtId="0" fontId="0" fillId="0" borderId="6" xfId="0" applyBorder="1" applyAlignment="1">
      <alignment horizontal="left"/>
    </xf>
    <xf numFmtId="11" fontId="0" fillId="0" borderId="7" xfId="0" applyNumberFormat="1" applyBorder="1" applyAlignment="1">
      <alignment horizontal="left"/>
    </xf>
    <xf numFmtId="0" fontId="1" fillId="0" borderId="4" xfId="0" applyFont="1" applyBorder="1" applyAlignment="1">
      <alignment horizontal="left"/>
    </xf>
    <xf numFmtId="0" fontId="0" fillId="0" borderId="9" xfId="0" applyBorder="1" applyAlignment="1">
      <alignment horizontal="left"/>
    </xf>
    <xf numFmtId="0" fontId="0" fillId="0" borderId="4" xfId="0" applyBorder="1" applyAlignment="1">
      <alignment horizontal="left"/>
    </xf>
    <xf numFmtId="11" fontId="0" fillId="0" borderId="10" xfId="0" applyNumberFormat="1" applyBorder="1" applyAlignment="1">
      <alignment horizontal="left"/>
    </xf>
    <xf numFmtId="11" fontId="0" fillId="0" borderId="4" xfId="0" applyNumberFormat="1" applyBorder="1" applyAlignment="1">
      <alignment horizontal="left"/>
    </xf>
    <xf numFmtId="0" fontId="0" fillId="0" borderId="4" xfId="0" applyBorder="1"/>
    <xf numFmtId="0" fontId="0" fillId="0" borderId="6" xfId="0" applyBorder="1"/>
    <xf numFmtId="0" fontId="1" fillId="0" borderId="10" xfId="0" applyFont="1" applyBorder="1" applyAlignment="1">
      <alignment vertical="center"/>
    </xf>
    <xf numFmtId="0" fontId="1" fillId="0" borderId="4" xfId="0" applyFont="1" applyBorder="1" applyAlignment="1">
      <alignment vertical="center"/>
    </xf>
    <xf numFmtId="0" fontId="1" fillId="0" borderId="12" xfId="0" applyFont="1" applyBorder="1" applyAlignment="1">
      <alignment horizontal="center" vertical="center"/>
    </xf>
    <xf numFmtId="0" fontId="1" fillId="0" borderId="12" xfId="0" applyFont="1" applyBorder="1" applyAlignment="1">
      <alignment horizontal="center"/>
    </xf>
    <xf numFmtId="0" fontId="0" fillId="0" borderId="12" xfId="0" applyBorder="1" applyAlignment="1">
      <alignment horizontal="center"/>
    </xf>
    <xf numFmtId="0" fontId="0" fillId="0" borderId="12" xfId="0" applyBorder="1" applyAlignment="1">
      <alignment horizontal="center" vertical="center"/>
    </xf>
    <xf numFmtId="0" fontId="0" fillId="0" borderId="5" xfId="0" applyBorder="1"/>
    <xf numFmtId="0" fontId="0" fillId="0" borderId="7" xfId="0" applyBorder="1"/>
    <xf numFmtId="0" fontId="0" fillId="0" borderId="1" xfId="0" applyBorder="1"/>
    <xf numFmtId="0" fontId="0" fillId="0" borderId="3" xfId="0" applyBorder="1"/>
    <xf numFmtId="0" fontId="0" fillId="0" borderId="9" xfId="0" applyBorder="1"/>
    <xf numFmtId="0" fontId="0" fillId="0" borderId="10" xfId="0" applyBorder="1"/>
    <xf numFmtId="0" fontId="1" fillId="0" borderId="9" xfId="0" applyFont="1" applyBorder="1" applyAlignment="1">
      <alignment vertical="center"/>
    </xf>
    <xf numFmtId="3" fontId="0" fillId="0" borderId="12" xfId="0" applyNumberFormat="1" applyBorder="1" applyAlignment="1">
      <alignment horizontal="center" vertical="center"/>
    </xf>
    <xf numFmtId="0" fontId="0" fillId="0" borderId="12" xfId="0" applyBorder="1" applyAlignment="1">
      <alignment vertical="center"/>
    </xf>
    <xf numFmtId="11" fontId="0" fillId="0" borderId="12" xfId="0" applyNumberFormat="1" applyBorder="1" applyAlignment="1">
      <alignment horizontal="center" vertical="center"/>
    </xf>
    <xf numFmtId="3" fontId="0" fillId="0" borderId="14" xfId="0" applyNumberFormat="1" applyBorder="1" applyAlignment="1">
      <alignment horizontal="center" vertical="center"/>
    </xf>
    <xf numFmtId="0" fontId="0" fillId="0" borderId="14" xfId="0" applyBorder="1" applyAlignment="1">
      <alignment horizontal="center" vertical="center"/>
    </xf>
    <xf numFmtId="11" fontId="8" fillId="0" borderId="14" xfId="0" applyNumberFormat="1" applyFont="1" applyBorder="1" applyAlignment="1">
      <alignment horizontal="center" vertical="center"/>
    </xf>
    <xf numFmtId="11" fontId="0" fillId="0" borderId="14" xfId="0" applyNumberFormat="1" applyBorder="1" applyAlignment="1">
      <alignment horizontal="center" vertical="center"/>
    </xf>
    <xf numFmtId="0" fontId="1" fillId="0" borderId="16" xfId="0" applyFont="1" applyBorder="1" applyAlignment="1">
      <alignment horizontal="center" vertical="center"/>
    </xf>
    <xf numFmtId="0" fontId="0" fillId="0" borderId="16" xfId="0" applyBorder="1" applyAlignment="1">
      <alignment horizontal="center" vertical="center"/>
    </xf>
    <xf numFmtId="11" fontId="8" fillId="0" borderId="16" xfId="0" applyNumberFormat="1" applyFont="1" applyBorder="1" applyAlignment="1">
      <alignment horizontal="center" vertical="center"/>
    </xf>
    <xf numFmtId="11" fontId="0" fillId="0" borderId="16" xfId="0" applyNumberFormat="1" applyBorder="1" applyAlignment="1">
      <alignment horizontal="center" vertical="center"/>
    </xf>
    <xf numFmtId="0" fontId="1" fillId="0" borderId="15" xfId="0" applyFont="1" applyBorder="1" applyAlignment="1">
      <alignment horizontal="center"/>
    </xf>
    <xf numFmtId="3"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2" xfId="0" quotePrefix="1" applyBorder="1" applyAlignment="1">
      <alignment horizontal="center" vertical="center"/>
    </xf>
    <xf numFmtId="0" fontId="0" fillId="0" borderId="16" xfId="0" applyBorder="1" applyAlignment="1">
      <alignment vertical="center"/>
    </xf>
    <xf numFmtId="0" fontId="0" fillId="0" borderId="16" xfId="0" applyBorder="1" applyAlignment="1">
      <alignment horizontal="center"/>
    </xf>
    <xf numFmtId="0" fontId="0" fillId="0" borderId="17" xfId="0" applyBorder="1" applyAlignment="1">
      <alignment vertical="center"/>
    </xf>
    <xf numFmtId="0" fontId="0" fillId="0" borderId="17" xfId="0" applyBorder="1" applyAlignment="1">
      <alignment horizontal="center"/>
    </xf>
    <xf numFmtId="0" fontId="0" fillId="0" borderId="2" xfId="0" applyBorder="1" applyAlignment="1">
      <alignment horizontal="center"/>
    </xf>
    <xf numFmtId="0" fontId="0" fillId="0" borderId="16" xfId="0" quotePrefix="1" applyBorder="1" applyAlignment="1">
      <alignment horizontal="center" vertical="center"/>
    </xf>
    <xf numFmtId="0" fontId="0" fillId="0" borderId="17" xfId="0" quotePrefix="1" applyBorder="1" applyAlignment="1">
      <alignment horizontal="center" vertical="center"/>
    </xf>
    <xf numFmtId="0" fontId="0" fillId="0" borderId="14" xfId="0" quotePrefix="1" applyBorder="1" applyAlignment="1">
      <alignment horizontal="center" vertical="center"/>
    </xf>
    <xf numFmtId="0" fontId="10" fillId="0" borderId="12" xfId="0" applyFont="1" applyBorder="1" applyAlignment="1">
      <alignment horizontal="center" vertical="center"/>
    </xf>
    <xf numFmtId="0" fontId="9" fillId="0" borderId="12" xfId="0" applyFont="1" applyBorder="1" applyAlignment="1">
      <alignment horizontal="center" vertical="center"/>
    </xf>
    <xf numFmtId="11" fontId="9" fillId="0" borderId="12" xfId="0" applyNumberFormat="1" applyFont="1" applyBorder="1" applyAlignment="1">
      <alignment horizontal="center" vertical="center"/>
    </xf>
    <xf numFmtId="11" fontId="0" fillId="0" borderId="0" xfId="0" applyNumberFormat="1" applyAlignment="1">
      <alignment horizontal="left"/>
    </xf>
    <xf numFmtId="0" fontId="0" fillId="0" borderId="2" xfId="0" applyBorder="1" applyAlignment="1">
      <alignment horizontal="center" vertical="center"/>
    </xf>
    <xf numFmtId="0" fontId="0" fillId="0" borderId="12" xfId="0" applyBorder="1" applyAlignment="1">
      <alignment horizontal="center" vertical="center" wrapText="1"/>
    </xf>
    <xf numFmtId="0" fontId="0" fillId="0" borderId="16" xfId="0" applyBorder="1" applyAlignment="1">
      <alignment horizontal="center" vertical="center" wrapText="1"/>
    </xf>
    <xf numFmtId="11" fontId="0" fillId="0" borderId="18" xfId="0" applyNumberFormat="1" applyBorder="1" applyAlignment="1">
      <alignment horizontal="center" vertical="center"/>
    </xf>
    <xf numFmtId="11" fontId="0" fillId="0" borderId="17" xfId="0" applyNumberFormat="1" applyBorder="1" applyAlignment="1">
      <alignment horizontal="center" vertical="center"/>
    </xf>
    <xf numFmtId="0" fontId="0" fillId="0" borderId="17" xfId="0" applyBorder="1" applyAlignment="1">
      <alignment horizontal="center" vertical="center" wrapText="1"/>
    </xf>
    <xf numFmtId="0" fontId="1" fillId="2" borderId="0" xfId="0" applyFont="1" applyFill="1" applyAlignment="1">
      <alignment horizontal="center" vertical="center"/>
    </xf>
    <xf numFmtId="0" fontId="1" fillId="3" borderId="0" xfId="0" applyFont="1" applyFill="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11" fontId="0" fillId="2" borderId="0" xfId="0" applyNumberFormat="1" applyFill="1" applyAlignment="1">
      <alignment horizontal="center" vertical="center"/>
    </xf>
    <xf numFmtId="11" fontId="0" fillId="3" borderId="0" xfId="0" applyNumberFormat="1" applyFill="1" applyAlignment="1">
      <alignment horizontal="center" vertical="center"/>
    </xf>
    <xf numFmtId="2" fontId="0" fillId="2" borderId="0" xfId="0" applyNumberFormat="1" applyFill="1" applyAlignment="1">
      <alignment horizontal="center" vertical="center"/>
    </xf>
    <xf numFmtId="2" fontId="0" fillId="2" borderId="0" xfId="0" quotePrefix="1" applyNumberFormat="1" applyFill="1" applyAlignment="1">
      <alignment horizontal="center" vertical="center"/>
    </xf>
    <xf numFmtId="2" fontId="0" fillId="3" borderId="0" xfId="0" applyNumberFormat="1" applyFill="1" applyAlignment="1">
      <alignment horizontal="center" vertical="center"/>
    </xf>
    <xf numFmtId="0" fontId="0" fillId="3" borderId="0" xfId="0" quotePrefix="1" applyFill="1" applyAlignment="1">
      <alignment horizontal="center" vertical="center"/>
    </xf>
    <xf numFmtId="0" fontId="0" fillId="0" borderId="14" xfId="0" applyBorder="1" applyAlignment="1">
      <alignment horizontal="center" vertical="center" wrapText="1"/>
    </xf>
    <xf numFmtId="11" fontId="8" fillId="0" borderId="12" xfId="0" applyNumberFormat="1" applyFont="1" applyBorder="1" applyAlignment="1">
      <alignment horizontal="center" vertical="center"/>
    </xf>
    <xf numFmtId="0" fontId="1" fillId="0" borderId="16" xfId="0" applyFont="1" applyBorder="1" applyAlignment="1">
      <alignment horizontal="center"/>
    </xf>
    <xf numFmtId="0" fontId="0" fillId="2" borderId="0" xfId="0" applyFill="1" applyAlignment="1">
      <alignment horizontal="center"/>
    </xf>
    <xf numFmtId="0" fontId="10" fillId="0" borderId="0" xfId="0" applyFont="1"/>
    <xf numFmtId="0" fontId="10" fillId="0" borderId="0" xfId="0" applyFont="1" applyAlignment="1">
      <alignment horizontal="left"/>
    </xf>
    <xf numFmtId="0" fontId="1" fillId="0" borderId="12" xfId="0" applyFont="1" applyBorder="1" applyAlignment="1">
      <alignment horizontal="left"/>
    </xf>
    <xf numFmtId="0" fontId="0" fillId="0" borderId="12" xfId="0" applyBorder="1" applyAlignment="1">
      <alignment horizontal="left"/>
    </xf>
    <xf numFmtId="11" fontId="0" fillId="0" borderId="12" xfId="0" applyNumberFormat="1" applyBorder="1" applyAlignment="1">
      <alignment horizontal="left"/>
    </xf>
    <xf numFmtId="3" fontId="0" fillId="0" borderId="12" xfId="0" applyNumberFormat="1" applyBorder="1" applyAlignment="1">
      <alignment horizontal="left"/>
    </xf>
    <xf numFmtId="0" fontId="0" fillId="0" borderId="12" xfId="0" applyBorder="1"/>
    <xf numFmtId="0" fontId="1" fillId="0" borderId="0" xfId="0" applyFont="1" applyAlignment="1">
      <alignment horizontal="center" vertical="center" textRotation="90"/>
    </xf>
    <xf numFmtId="0" fontId="0" fillId="0" borderId="0" xfId="0" applyAlignment="1">
      <alignment horizontal="center" vertical="center"/>
    </xf>
    <xf numFmtId="0" fontId="1" fillId="2" borderId="0" xfId="0" applyFont="1" applyFill="1" applyAlignment="1">
      <alignment horizontal="center"/>
    </xf>
    <xf numFmtId="0" fontId="1" fillId="3" borderId="0" xfId="0" applyFont="1" applyFill="1" applyAlignment="1">
      <alignment horizontal="center"/>
    </xf>
    <xf numFmtId="0" fontId="1" fillId="0" borderId="12" xfId="0" applyFont="1" applyBorder="1" applyAlignment="1">
      <alignment horizontal="center" vertical="center"/>
    </xf>
    <xf numFmtId="0" fontId="1" fillId="0" borderId="12" xfId="0" applyFont="1" applyBorder="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1" fillId="0" borderId="3" xfId="0" applyFont="1" applyBorder="1" applyAlignment="1">
      <alignment horizontal="center"/>
    </xf>
    <xf numFmtId="0" fontId="1" fillId="0" borderId="7" xfId="0" applyFont="1" applyBorder="1" applyAlignment="1">
      <alignment horizontal="center" vertical="center"/>
    </xf>
    <xf numFmtId="0" fontId="1" fillId="0" borderId="3"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Alignment="1">
      <alignment vertical="center"/>
    </xf>
    <xf numFmtId="0" fontId="0" fillId="0" borderId="9" xfId="0" applyBorder="1" applyAlignment="1">
      <alignment horizontal="center"/>
    </xf>
    <xf numFmtId="0" fontId="0" fillId="0" borderId="4" xfId="0" applyBorder="1" applyAlignment="1">
      <alignment horizontal="center"/>
    </xf>
    <xf numFmtId="0" fontId="0" fillId="0" borderId="10" xfId="0"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9" xfId="0" applyFont="1" applyBorder="1" applyAlignment="1">
      <alignment horizontal="center" vertical="center"/>
    </xf>
    <xf numFmtId="0" fontId="1" fillId="0" borderId="4" xfId="0" applyFont="1" applyBorder="1" applyAlignment="1">
      <alignment horizontal="center" vertical="center"/>
    </xf>
    <xf numFmtId="0" fontId="1" fillId="0" borderId="13" xfId="0" applyFont="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9" fillId="0" borderId="12" xfId="0" applyFont="1" applyBorder="1" applyAlignment="1">
      <alignment horizontal="center" vertical="center"/>
    </xf>
    <xf numFmtId="3" fontId="9" fillId="0" borderId="12" xfId="0" applyNumberFormat="1" applyFont="1" applyBorder="1" applyAlignment="1">
      <alignment horizontal="center" vertical="center"/>
    </xf>
    <xf numFmtId="0" fontId="1" fillId="0" borderId="14" xfId="0" applyFont="1" applyBorder="1" applyAlignment="1">
      <alignment horizontal="center" vertical="center"/>
    </xf>
    <xf numFmtId="0" fontId="1" fillId="0" borderId="16" xfId="0" applyFont="1" applyBorder="1" applyAlignment="1">
      <alignment horizontal="center" vertical="center"/>
    </xf>
    <xf numFmtId="0" fontId="0" fillId="0" borderId="12" xfId="0" applyBorder="1" applyAlignment="1">
      <alignment horizontal="center" vertical="center"/>
    </xf>
    <xf numFmtId="0" fontId="1" fillId="0" borderId="17" xfId="0" applyFont="1" applyBorder="1" applyAlignment="1">
      <alignment horizontal="center" vertical="center"/>
    </xf>
    <xf numFmtId="0" fontId="1" fillId="0" borderId="19" xfId="0" applyFont="1" applyBorder="1" applyAlignment="1">
      <alignment horizontal="center" vertical="center"/>
    </xf>
    <xf numFmtId="0" fontId="1" fillId="0" borderId="2" xfId="0" applyFont="1" applyBorder="1" applyAlignment="1">
      <alignment horizontal="center" vertical="center"/>
    </xf>
    <xf numFmtId="0" fontId="1" fillId="0" borderId="18" xfId="0" applyFont="1" applyBorder="1" applyAlignment="1">
      <alignment horizontal="center" vertical="center"/>
    </xf>
    <xf numFmtId="0" fontId="1" fillId="0" borderId="15" xfId="0" applyFont="1" applyBorder="1" applyAlignment="1">
      <alignment horizontal="center" vertical="center"/>
    </xf>
    <xf numFmtId="0" fontId="1" fillId="0" borderId="15" xfId="0" applyFont="1" applyBorder="1" applyAlignment="1">
      <alignment horizontal="center" wrapText="1"/>
    </xf>
    <xf numFmtId="0" fontId="1" fillId="0" borderId="14" xfId="0" applyFont="1" applyBorder="1" applyAlignment="1">
      <alignment horizontal="center" wrapText="1"/>
    </xf>
    <xf numFmtId="0" fontId="1" fillId="0" borderId="9" xfId="0" applyFont="1" applyBorder="1" applyAlignment="1">
      <alignment horizontal="center"/>
    </xf>
    <xf numFmtId="0" fontId="1" fillId="0" borderId="4" xfId="0" applyFont="1" applyBorder="1" applyAlignment="1">
      <alignment horizontal="center"/>
    </xf>
    <xf numFmtId="0" fontId="1" fillId="0" borderId="10" xfId="0" applyFont="1" applyBorder="1" applyAlignment="1">
      <alignment horizontal="center"/>
    </xf>
    <xf numFmtId="0" fontId="0" fillId="0" borderId="19" xfId="0" applyBorder="1" applyAlignment="1">
      <alignment horizontal="center" vertical="center" wrapText="1"/>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1" fillId="0" borderId="11" xfId="0" applyFont="1" applyBorder="1" applyAlignment="1">
      <alignment horizontal="center"/>
    </xf>
    <xf numFmtId="0" fontId="1" fillId="0" borderId="8" xfId="0" applyFont="1" applyBorder="1" applyAlignment="1">
      <alignment horizont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xf>
    <xf numFmtId="0" fontId="0" fillId="0" borderId="17" xfId="0" applyBorder="1" applyAlignment="1">
      <alignment horizontal="center" vertical="center"/>
    </xf>
    <xf numFmtId="0" fontId="0" fillId="0" borderId="17" xfId="0" applyBorder="1" applyAlignment="1">
      <alignment horizontal="center"/>
    </xf>
    <xf numFmtId="0" fontId="0" fillId="0" borderId="16"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17310</xdr:colOff>
      <xdr:row>2</xdr:row>
      <xdr:rowOff>48215</xdr:rowOff>
    </xdr:from>
    <xdr:to>
      <xdr:col>4</xdr:col>
      <xdr:colOff>124838</xdr:colOff>
      <xdr:row>3</xdr:row>
      <xdr:rowOff>60311</xdr:rowOff>
    </xdr:to>
    <xdr:grpSp>
      <xdr:nvGrpSpPr>
        <xdr:cNvPr id="12" name="Group 11">
          <a:extLst>
            <a:ext uri="{FF2B5EF4-FFF2-40B4-BE49-F238E27FC236}">
              <a16:creationId xmlns:a16="http://schemas.microsoft.com/office/drawing/2014/main" id="{A8C3B980-2E6E-0509-4D6D-716F661F8199}"/>
            </a:ext>
          </a:extLst>
        </xdr:cNvPr>
        <xdr:cNvGrpSpPr/>
      </xdr:nvGrpSpPr>
      <xdr:grpSpPr>
        <a:xfrm>
          <a:off x="4153881" y="421439"/>
          <a:ext cx="107528" cy="198709"/>
          <a:chOff x="3534893" y="449217"/>
          <a:chExt cx="107528" cy="194976"/>
        </a:xfrm>
      </xdr:grpSpPr>
      <xdr:cxnSp macro="">
        <xdr:nvCxnSpPr>
          <xdr:cNvPr id="6" name="Straight Arrow Connector 5">
            <a:extLst>
              <a:ext uri="{FF2B5EF4-FFF2-40B4-BE49-F238E27FC236}">
                <a16:creationId xmlns:a16="http://schemas.microsoft.com/office/drawing/2014/main" id="{88925619-9CA1-93D7-5E5F-59FA2DBA245E}"/>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 name="Right Bracket 10">
            <a:extLst>
              <a:ext uri="{FF2B5EF4-FFF2-40B4-BE49-F238E27FC236}">
                <a16:creationId xmlns:a16="http://schemas.microsoft.com/office/drawing/2014/main" id="{859C0374-243E-A078-14D5-9F9AFFD9E88E}"/>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2</xdr:row>
      <xdr:rowOff>53032</xdr:rowOff>
    </xdr:from>
    <xdr:to>
      <xdr:col>4</xdr:col>
      <xdr:colOff>1082334</xdr:colOff>
      <xdr:row>4</xdr:row>
      <xdr:rowOff>122739</xdr:rowOff>
    </xdr:to>
    <xdr:grpSp>
      <xdr:nvGrpSpPr>
        <xdr:cNvPr id="14" name="Group 13">
          <a:extLst>
            <a:ext uri="{FF2B5EF4-FFF2-40B4-BE49-F238E27FC236}">
              <a16:creationId xmlns:a16="http://schemas.microsoft.com/office/drawing/2014/main" id="{1A460108-DB8C-408A-A9C9-97B6FB5AA5BB}"/>
            </a:ext>
          </a:extLst>
        </xdr:cNvPr>
        <xdr:cNvGrpSpPr/>
      </xdr:nvGrpSpPr>
      <xdr:grpSpPr>
        <a:xfrm>
          <a:off x="5103140" y="426256"/>
          <a:ext cx="115765" cy="442932"/>
          <a:chOff x="3534893" y="449217"/>
          <a:chExt cx="107528" cy="194976"/>
        </a:xfrm>
      </xdr:grpSpPr>
      <xdr:cxnSp macro="">
        <xdr:nvCxnSpPr>
          <xdr:cNvPr id="15" name="Straight Arrow Connector 14">
            <a:extLst>
              <a:ext uri="{FF2B5EF4-FFF2-40B4-BE49-F238E27FC236}">
                <a16:creationId xmlns:a16="http://schemas.microsoft.com/office/drawing/2014/main" id="{F32FD91A-263F-D4BF-8748-B1F40309BA3C}"/>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6" name="Right Bracket 15">
            <a:extLst>
              <a:ext uri="{FF2B5EF4-FFF2-40B4-BE49-F238E27FC236}">
                <a16:creationId xmlns:a16="http://schemas.microsoft.com/office/drawing/2014/main" id="{644D3A8E-9037-52C8-8E7D-4DF313ECEB7D}"/>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2</xdr:row>
      <xdr:rowOff>83354</xdr:rowOff>
    </xdr:from>
    <xdr:to>
      <xdr:col>4</xdr:col>
      <xdr:colOff>632648</xdr:colOff>
      <xdr:row>3</xdr:row>
      <xdr:rowOff>87752</xdr:rowOff>
    </xdr:to>
    <xdr:sp macro="" textlink="">
      <xdr:nvSpPr>
        <xdr:cNvPr id="85" name="TextBox 84">
          <a:extLst>
            <a:ext uri="{FF2B5EF4-FFF2-40B4-BE49-F238E27FC236}">
              <a16:creationId xmlns:a16="http://schemas.microsoft.com/office/drawing/2014/main" id="{3838A7B2-60FD-4482-9B87-8EAF641C124F}"/>
            </a:ext>
          </a:extLst>
        </xdr:cNvPr>
        <xdr:cNvSpPr txBox="1"/>
      </xdr:nvSpPr>
      <xdr:spPr>
        <a:xfrm>
          <a:off x="4208802" y="452595"/>
          <a:ext cx="565457" cy="187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p=4.3e-4</a:t>
          </a:r>
        </a:p>
      </xdr:txBody>
    </xdr:sp>
    <xdr:clientData/>
  </xdr:twoCellAnchor>
  <xdr:twoCellAnchor>
    <xdr:from>
      <xdr:col>4</xdr:col>
      <xdr:colOff>1035444</xdr:colOff>
      <xdr:row>2</xdr:row>
      <xdr:rowOff>118081</xdr:rowOff>
    </xdr:from>
    <xdr:to>
      <xdr:col>5</xdr:col>
      <xdr:colOff>82033</xdr:colOff>
      <xdr:row>3</xdr:row>
      <xdr:rowOff>122476</xdr:rowOff>
    </xdr:to>
    <xdr:sp macro="" textlink="">
      <xdr:nvSpPr>
        <xdr:cNvPr id="86" name="TextBox 85">
          <a:extLst>
            <a:ext uri="{FF2B5EF4-FFF2-40B4-BE49-F238E27FC236}">
              <a16:creationId xmlns:a16="http://schemas.microsoft.com/office/drawing/2014/main" id="{51CF0E11-8999-40A0-8431-D33C8E201BA4}"/>
            </a:ext>
          </a:extLst>
        </xdr:cNvPr>
        <xdr:cNvSpPr txBox="1"/>
      </xdr:nvSpPr>
      <xdr:spPr>
        <a:xfrm>
          <a:off x="5569162" y="486320"/>
          <a:ext cx="1020861" cy="186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0.297 (0.202, 0.392)</a:t>
          </a:r>
        </a:p>
      </xdr:txBody>
    </xdr:sp>
    <xdr:clientData/>
  </xdr:twoCellAnchor>
  <xdr:twoCellAnchor>
    <xdr:from>
      <xdr:col>4</xdr:col>
      <xdr:colOff>1036903</xdr:colOff>
      <xdr:row>3</xdr:row>
      <xdr:rowOff>30226</xdr:rowOff>
    </xdr:from>
    <xdr:to>
      <xdr:col>4</xdr:col>
      <xdr:colOff>1614714</xdr:colOff>
      <xdr:row>4</xdr:row>
      <xdr:rowOff>34624</xdr:rowOff>
    </xdr:to>
    <xdr:sp macro="" textlink="">
      <xdr:nvSpPr>
        <xdr:cNvPr id="87" name="TextBox 86">
          <a:extLst>
            <a:ext uri="{FF2B5EF4-FFF2-40B4-BE49-F238E27FC236}">
              <a16:creationId xmlns:a16="http://schemas.microsoft.com/office/drawing/2014/main" id="{2785E506-E6B4-4480-BAAF-5CE422A62114}"/>
            </a:ext>
          </a:extLst>
        </xdr:cNvPr>
        <xdr:cNvSpPr txBox="1"/>
      </xdr:nvSpPr>
      <xdr:spPr>
        <a:xfrm>
          <a:off x="5178658" y="584879"/>
          <a:ext cx="577811" cy="19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4</xdr:col>
      <xdr:colOff>71096</xdr:colOff>
      <xdr:row>1</xdr:row>
      <xdr:rowOff>164067</xdr:rowOff>
    </xdr:from>
    <xdr:to>
      <xdr:col>4</xdr:col>
      <xdr:colOff>1091957</xdr:colOff>
      <xdr:row>2</xdr:row>
      <xdr:rowOff>164817</xdr:rowOff>
    </xdr:to>
    <xdr:sp macro="" textlink="">
      <xdr:nvSpPr>
        <xdr:cNvPr id="348" name="TextBox 347">
          <a:extLst>
            <a:ext uri="{FF2B5EF4-FFF2-40B4-BE49-F238E27FC236}">
              <a16:creationId xmlns:a16="http://schemas.microsoft.com/office/drawing/2014/main" id="{D6E90FA8-B0B4-4FD5-84E6-BB2896E6CFC4}"/>
            </a:ext>
          </a:extLst>
        </xdr:cNvPr>
        <xdr:cNvSpPr txBox="1"/>
      </xdr:nvSpPr>
      <xdr:spPr>
        <a:xfrm>
          <a:off x="4604814" y="346364"/>
          <a:ext cx="1020861" cy="186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0.154 (0.068, 0.240)</a:t>
          </a:r>
        </a:p>
      </xdr:txBody>
    </xdr:sp>
    <xdr:clientData/>
  </xdr:twoCellAnchor>
  <xdr:twoCellAnchor>
    <xdr:from>
      <xdr:col>3</xdr:col>
      <xdr:colOff>69086</xdr:colOff>
      <xdr:row>2</xdr:row>
      <xdr:rowOff>22698</xdr:rowOff>
    </xdr:from>
    <xdr:to>
      <xdr:col>3</xdr:col>
      <xdr:colOff>589297</xdr:colOff>
      <xdr:row>3</xdr:row>
      <xdr:rowOff>27096</xdr:rowOff>
    </xdr:to>
    <xdr:sp macro="" textlink="">
      <xdr:nvSpPr>
        <xdr:cNvPr id="379" name="TextBox 378">
          <a:extLst>
            <a:ext uri="{FF2B5EF4-FFF2-40B4-BE49-F238E27FC236}">
              <a16:creationId xmlns:a16="http://schemas.microsoft.com/office/drawing/2014/main" id="{6444A6E7-FD37-4E12-9762-631361C0DD26}"/>
            </a:ext>
          </a:extLst>
        </xdr:cNvPr>
        <xdr:cNvSpPr txBox="1"/>
      </xdr:nvSpPr>
      <xdr:spPr>
        <a:xfrm>
          <a:off x="2787265" y="390429"/>
          <a:ext cx="520211" cy="186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p=0.632</a:t>
          </a:r>
        </a:p>
      </xdr:txBody>
    </xdr:sp>
    <xdr:clientData/>
  </xdr:twoCellAnchor>
  <xdr:twoCellAnchor>
    <xdr:from>
      <xdr:col>3</xdr:col>
      <xdr:colOff>593538</xdr:colOff>
      <xdr:row>2</xdr:row>
      <xdr:rowOff>147043</xdr:rowOff>
    </xdr:from>
    <xdr:to>
      <xdr:col>4</xdr:col>
      <xdr:colOff>36012</xdr:colOff>
      <xdr:row>3</xdr:row>
      <xdr:rowOff>151442</xdr:rowOff>
    </xdr:to>
    <xdr:sp macro="" textlink="">
      <xdr:nvSpPr>
        <xdr:cNvPr id="392" name="TextBox 391">
          <a:extLst>
            <a:ext uri="{FF2B5EF4-FFF2-40B4-BE49-F238E27FC236}">
              <a16:creationId xmlns:a16="http://schemas.microsoft.com/office/drawing/2014/main" id="{9E4EDAE3-1BE7-4034-8280-E76A6272C55B}"/>
            </a:ext>
          </a:extLst>
        </xdr:cNvPr>
        <xdr:cNvSpPr txBox="1"/>
      </xdr:nvSpPr>
      <xdr:spPr>
        <a:xfrm>
          <a:off x="3311717" y="514774"/>
          <a:ext cx="608220" cy="186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p=0.069</a:t>
          </a:r>
        </a:p>
      </xdr:txBody>
    </xdr:sp>
    <xdr:clientData/>
  </xdr:twoCellAnchor>
  <xdr:twoCellAnchor>
    <xdr:from>
      <xdr:col>3</xdr:col>
      <xdr:colOff>68168</xdr:colOff>
      <xdr:row>3</xdr:row>
      <xdr:rowOff>110652</xdr:rowOff>
    </xdr:from>
    <xdr:to>
      <xdr:col>3</xdr:col>
      <xdr:colOff>588379</xdr:colOff>
      <xdr:row>4</xdr:row>
      <xdr:rowOff>115050</xdr:rowOff>
    </xdr:to>
    <xdr:sp macro="" textlink="">
      <xdr:nvSpPr>
        <xdr:cNvPr id="397" name="TextBox 396">
          <a:extLst>
            <a:ext uri="{FF2B5EF4-FFF2-40B4-BE49-F238E27FC236}">
              <a16:creationId xmlns:a16="http://schemas.microsoft.com/office/drawing/2014/main" id="{FF59CEBC-4914-4240-B273-FA93AF139766}"/>
            </a:ext>
          </a:extLst>
        </xdr:cNvPr>
        <xdr:cNvSpPr txBox="1"/>
      </xdr:nvSpPr>
      <xdr:spPr>
        <a:xfrm>
          <a:off x="2786347" y="660353"/>
          <a:ext cx="520211" cy="186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p=0.193</a:t>
          </a:r>
        </a:p>
      </xdr:txBody>
    </xdr:sp>
    <xdr:clientData/>
  </xdr:twoCellAnchor>
  <xdr:twoCellAnchor>
    <xdr:from>
      <xdr:col>4</xdr:col>
      <xdr:colOff>17310</xdr:colOff>
      <xdr:row>5</xdr:row>
      <xdr:rowOff>48215</xdr:rowOff>
    </xdr:from>
    <xdr:to>
      <xdr:col>4</xdr:col>
      <xdr:colOff>124838</xdr:colOff>
      <xdr:row>6</xdr:row>
      <xdr:rowOff>60311</xdr:rowOff>
    </xdr:to>
    <xdr:grpSp>
      <xdr:nvGrpSpPr>
        <xdr:cNvPr id="400" name="Group 399">
          <a:extLst>
            <a:ext uri="{FF2B5EF4-FFF2-40B4-BE49-F238E27FC236}">
              <a16:creationId xmlns:a16="http://schemas.microsoft.com/office/drawing/2014/main" id="{E1B72956-6BCF-4068-B49D-491B9D388837}"/>
            </a:ext>
          </a:extLst>
        </xdr:cNvPr>
        <xdr:cNvGrpSpPr/>
      </xdr:nvGrpSpPr>
      <xdr:grpSpPr>
        <a:xfrm>
          <a:off x="4153881" y="981276"/>
          <a:ext cx="107528" cy="198708"/>
          <a:chOff x="3534893" y="449217"/>
          <a:chExt cx="107528" cy="194976"/>
        </a:xfrm>
      </xdr:grpSpPr>
      <xdr:cxnSp macro="">
        <xdr:nvCxnSpPr>
          <xdr:cNvPr id="401" name="Straight Arrow Connector 400">
            <a:extLst>
              <a:ext uri="{FF2B5EF4-FFF2-40B4-BE49-F238E27FC236}">
                <a16:creationId xmlns:a16="http://schemas.microsoft.com/office/drawing/2014/main" id="{1B3A93E0-947A-3A0A-3D27-3159648A8383}"/>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02" name="Right Bracket 401">
            <a:extLst>
              <a:ext uri="{FF2B5EF4-FFF2-40B4-BE49-F238E27FC236}">
                <a16:creationId xmlns:a16="http://schemas.microsoft.com/office/drawing/2014/main" id="{F0773A2D-EC97-78A5-4F87-ABC22DC4FF1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5</xdr:row>
      <xdr:rowOff>53032</xdr:rowOff>
    </xdr:from>
    <xdr:to>
      <xdr:col>4</xdr:col>
      <xdr:colOff>1082334</xdr:colOff>
      <xdr:row>7</xdr:row>
      <xdr:rowOff>122739</xdr:rowOff>
    </xdr:to>
    <xdr:grpSp>
      <xdr:nvGrpSpPr>
        <xdr:cNvPr id="403" name="Group 402">
          <a:extLst>
            <a:ext uri="{FF2B5EF4-FFF2-40B4-BE49-F238E27FC236}">
              <a16:creationId xmlns:a16="http://schemas.microsoft.com/office/drawing/2014/main" id="{4AC7D336-B25F-40E0-9809-206EA4DE4101}"/>
            </a:ext>
          </a:extLst>
        </xdr:cNvPr>
        <xdr:cNvGrpSpPr/>
      </xdr:nvGrpSpPr>
      <xdr:grpSpPr>
        <a:xfrm>
          <a:off x="5103140" y="986093"/>
          <a:ext cx="115765" cy="442932"/>
          <a:chOff x="3534893" y="449217"/>
          <a:chExt cx="107528" cy="194976"/>
        </a:xfrm>
      </xdr:grpSpPr>
      <xdr:cxnSp macro="">
        <xdr:nvCxnSpPr>
          <xdr:cNvPr id="404" name="Straight Arrow Connector 403">
            <a:extLst>
              <a:ext uri="{FF2B5EF4-FFF2-40B4-BE49-F238E27FC236}">
                <a16:creationId xmlns:a16="http://schemas.microsoft.com/office/drawing/2014/main" id="{6B4C86EE-068A-7230-6BD5-F9011586344F}"/>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05" name="Right Bracket 404">
            <a:extLst>
              <a:ext uri="{FF2B5EF4-FFF2-40B4-BE49-F238E27FC236}">
                <a16:creationId xmlns:a16="http://schemas.microsoft.com/office/drawing/2014/main" id="{285DE28C-E66F-5578-1A48-38C6ABE3D3B2}"/>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5</xdr:row>
      <xdr:rowOff>83354</xdr:rowOff>
    </xdr:from>
    <xdr:to>
      <xdr:col>4</xdr:col>
      <xdr:colOff>677333</xdr:colOff>
      <xdr:row>6</xdr:row>
      <xdr:rowOff>87752</xdr:rowOff>
    </xdr:to>
    <xdr:sp macro="" textlink="">
      <xdr:nvSpPr>
        <xdr:cNvPr id="406" name="TextBox 405">
          <a:extLst>
            <a:ext uri="{FF2B5EF4-FFF2-40B4-BE49-F238E27FC236}">
              <a16:creationId xmlns:a16="http://schemas.microsoft.com/office/drawing/2014/main" id="{033FECE9-9885-4362-9D77-28B11D01B486}"/>
            </a:ext>
          </a:extLst>
        </xdr:cNvPr>
        <xdr:cNvSpPr txBox="1"/>
      </xdr:nvSpPr>
      <xdr:spPr>
        <a:xfrm>
          <a:off x="4208802" y="1007632"/>
          <a:ext cx="610142" cy="187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p=1.3e-4</a:t>
          </a:r>
        </a:p>
      </xdr:txBody>
    </xdr:sp>
    <xdr:clientData/>
  </xdr:twoCellAnchor>
  <xdr:twoCellAnchor>
    <xdr:from>
      <xdr:col>4</xdr:col>
      <xdr:colOff>1035444</xdr:colOff>
      <xdr:row>5</xdr:row>
      <xdr:rowOff>118081</xdr:rowOff>
    </xdr:from>
    <xdr:to>
      <xdr:col>5</xdr:col>
      <xdr:colOff>82033</xdr:colOff>
      <xdr:row>6</xdr:row>
      <xdr:rowOff>122476</xdr:rowOff>
    </xdr:to>
    <xdr:sp macro="" textlink="">
      <xdr:nvSpPr>
        <xdr:cNvPr id="407" name="TextBox 406">
          <a:extLst>
            <a:ext uri="{FF2B5EF4-FFF2-40B4-BE49-F238E27FC236}">
              <a16:creationId xmlns:a16="http://schemas.microsoft.com/office/drawing/2014/main" id="{1084C24F-1384-4904-93B9-4CE9DD9595C1}"/>
            </a:ext>
          </a:extLst>
        </xdr:cNvPr>
        <xdr:cNvSpPr txBox="1"/>
      </xdr:nvSpPr>
      <xdr:spPr>
        <a:xfrm>
          <a:off x="5567339" y="487622"/>
          <a:ext cx="1020341" cy="187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0.300</a:t>
          </a:r>
          <a:r>
            <a:rPr lang="en-GB" sz="800" b="1" baseline="0">
              <a:solidFill>
                <a:sysClr val="windowText" lastClr="000000"/>
              </a:solidFill>
            </a:rPr>
            <a:t> </a:t>
          </a:r>
          <a:r>
            <a:rPr lang="en-GB" sz="800" b="1">
              <a:solidFill>
                <a:sysClr val="windowText" lastClr="000000"/>
              </a:solidFill>
            </a:rPr>
            <a:t>(0.179, 0.422)</a:t>
          </a:r>
        </a:p>
      </xdr:txBody>
    </xdr:sp>
    <xdr:clientData/>
  </xdr:twoCellAnchor>
  <xdr:twoCellAnchor>
    <xdr:from>
      <xdr:col>4</xdr:col>
      <xdr:colOff>1036903</xdr:colOff>
      <xdr:row>6</xdr:row>
      <xdr:rowOff>30226</xdr:rowOff>
    </xdr:from>
    <xdr:to>
      <xdr:col>4</xdr:col>
      <xdr:colOff>1645816</xdr:colOff>
      <xdr:row>7</xdr:row>
      <xdr:rowOff>34624</xdr:rowOff>
    </xdr:to>
    <xdr:sp macro="" textlink="">
      <xdr:nvSpPr>
        <xdr:cNvPr id="408" name="TextBox 407">
          <a:extLst>
            <a:ext uri="{FF2B5EF4-FFF2-40B4-BE49-F238E27FC236}">
              <a16:creationId xmlns:a16="http://schemas.microsoft.com/office/drawing/2014/main" id="{B5A90F8A-263B-4A3C-85B4-5CA81435854C}"/>
            </a:ext>
          </a:extLst>
        </xdr:cNvPr>
        <xdr:cNvSpPr txBox="1"/>
      </xdr:nvSpPr>
      <xdr:spPr>
        <a:xfrm>
          <a:off x="5178658" y="1142124"/>
          <a:ext cx="608913" cy="188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4</xdr:col>
      <xdr:colOff>71096</xdr:colOff>
      <xdr:row>4</xdr:row>
      <xdr:rowOff>164067</xdr:rowOff>
    </xdr:from>
    <xdr:to>
      <xdr:col>4</xdr:col>
      <xdr:colOff>1091957</xdr:colOff>
      <xdr:row>5</xdr:row>
      <xdr:rowOff>164817</xdr:rowOff>
    </xdr:to>
    <xdr:sp macro="" textlink="">
      <xdr:nvSpPr>
        <xdr:cNvPr id="409" name="TextBox 408">
          <a:extLst>
            <a:ext uri="{FF2B5EF4-FFF2-40B4-BE49-F238E27FC236}">
              <a16:creationId xmlns:a16="http://schemas.microsoft.com/office/drawing/2014/main" id="{6DC2CA26-F369-41D6-B3E0-48078239BE73}"/>
            </a:ext>
          </a:extLst>
        </xdr:cNvPr>
        <xdr:cNvSpPr txBox="1"/>
      </xdr:nvSpPr>
      <xdr:spPr>
        <a:xfrm>
          <a:off x="4602991" y="347405"/>
          <a:ext cx="1020861" cy="186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0.208 (0.102, 0.314)</a:t>
          </a:r>
        </a:p>
      </xdr:txBody>
    </xdr:sp>
    <xdr:clientData/>
  </xdr:twoCellAnchor>
  <xdr:twoCellAnchor>
    <xdr:from>
      <xdr:col>4</xdr:col>
      <xdr:colOff>17310</xdr:colOff>
      <xdr:row>8</xdr:row>
      <xdr:rowOff>48215</xdr:rowOff>
    </xdr:from>
    <xdr:to>
      <xdr:col>4</xdr:col>
      <xdr:colOff>124838</xdr:colOff>
      <xdr:row>9</xdr:row>
      <xdr:rowOff>60311</xdr:rowOff>
    </xdr:to>
    <xdr:grpSp>
      <xdr:nvGrpSpPr>
        <xdr:cNvPr id="412" name="Group 411">
          <a:extLst>
            <a:ext uri="{FF2B5EF4-FFF2-40B4-BE49-F238E27FC236}">
              <a16:creationId xmlns:a16="http://schemas.microsoft.com/office/drawing/2014/main" id="{FB407A27-BB3C-4883-B8C8-9643CE21C712}"/>
            </a:ext>
          </a:extLst>
        </xdr:cNvPr>
        <xdr:cNvGrpSpPr/>
      </xdr:nvGrpSpPr>
      <xdr:grpSpPr>
        <a:xfrm>
          <a:off x="4153881" y="1541113"/>
          <a:ext cx="107528" cy="198708"/>
          <a:chOff x="3534893" y="449217"/>
          <a:chExt cx="107528" cy="194976"/>
        </a:xfrm>
      </xdr:grpSpPr>
      <xdr:cxnSp macro="">
        <xdr:nvCxnSpPr>
          <xdr:cNvPr id="413" name="Straight Arrow Connector 412">
            <a:extLst>
              <a:ext uri="{FF2B5EF4-FFF2-40B4-BE49-F238E27FC236}">
                <a16:creationId xmlns:a16="http://schemas.microsoft.com/office/drawing/2014/main" id="{284B2E73-A77F-2DFA-0792-8BFAC32AA684}"/>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14" name="Right Bracket 413">
            <a:extLst>
              <a:ext uri="{FF2B5EF4-FFF2-40B4-BE49-F238E27FC236}">
                <a16:creationId xmlns:a16="http://schemas.microsoft.com/office/drawing/2014/main" id="{1F816DC6-DAC6-49C1-191C-1ADC2A1C7100}"/>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8</xdr:row>
      <xdr:rowOff>53032</xdr:rowOff>
    </xdr:from>
    <xdr:to>
      <xdr:col>4</xdr:col>
      <xdr:colOff>1082334</xdr:colOff>
      <xdr:row>10</xdr:row>
      <xdr:rowOff>122739</xdr:rowOff>
    </xdr:to>
    <xdr:grpSp>
      <xdr:nvGrpSpPr>
        <xdr:cNvPr id="415" name="Group 414">
          <a:extLst>
            <a:ext uri="{FF2B5EF4-FFF2-40B4-BE49-F238E27FC236}">
              <a16:creationId xmlns:a16="http://schemas.microsoft.com/office/drawing/2014/main" id="{5B680BC0-ACB3-4738-B2D7-23341F1EEEA3}"/>
            </a:ext>
          </a:extLst>
        </xdr:cNvPr>
        <xdr:cNvGrpSpPr/>
      </xdr:nvGrpSpPr>
      <xdr:grpSpPr>
        <a:xfrm>
          <a:off x="5103140" y="1545930"/>
          <a:ext cx="115765" cy="442931"/>
          <a:chOff x="3534893" y="449217"/>
          <a:chExt cx="107528" cy="194976"/>
        </a:xfrm>
      </xdr:grpSpPr>
      <xdr:cxnSp macro="">
        <xdr:nvCxnSpPr>
          <xdr:cNvPr id="416" name="Straight Arrow Connector 415">
            <a:extLst>
              <a:ext uri="{FF2B5EF4-FFF2-40B4-BE49-F238E27FC236}">
                <a16:creationId xmlns:a16="http://schemas.microsoft.com/office/drawing/2014/main" id="{EF5CD272-5AF4-AF65-520A-F5CE8C07DFC7}"/>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17" name="Right Bracket 416">
            <a:extLst>
              <a:ext uri="{FF2B5EF4-FFF2-40B4-BE49-F238E27FC236}">
                <a16:creationId xmlns:a16="http://schemas.microsoft.com/office/drawing/2014/main" id="{21E1EFD7-D5CD-64D3-1403-51E5C21C8258}"/>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8</xdr:row>
      <xdr:rowOff>83354</xdr:rowOff>
    </xdr:from>
    <xdr:to>
      <xdr:col>4</xdr:col>
      <xdr:colOff>587402</xdr:colOff>
      <xdr:row>9</xdr:row>
      <xdr:rowOff>87752</xdr:rowOff>
    </xdr:to>
    <xdr:sp macro="" textlink="">
      <xdr:nvSpPr>
        <xdr:cNvPr id="418" name="TextBox 417">
          <a:extLst>
            <a:ext uri="{FF2B5EF4-FFF2-40B4-BE49-F238E27FC236}">
              <a16:creationId xmlns:a16="http://schemas.microsoft.com/office/drawing/2014/main" id="{7EA5A4C6-6D98-46D4-87FA-DDE260CFF04C}"/>
            </a:ext>
          </a:extLst>
        </xdr:cNvPr>
        <xdr:cNvSpPr txBox="1"/>
      </xdr:nvSpPr>
      <xdr:spPr>
        <a:xfrm>
          <a:off x="4599086" y="452895"/>
          <a:ext cx="520211" cy="187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p=0.217</a:t>
          </a:r>
        </a:p>
      </xdr:txBody>
    </xdr:sp>
    <xdr:clientData/>
  </xdr:twoCellAnchor>
  <xdr:twoCellAnchor>
    <xdr:from>
      <xdr:col>4</xdr:col>
      <xdr:colOff>1035444</xdr:colOff>
      <xdr:row>8</xdr:row>
      <xdr:rowOff>118081</xdr:rowOff>
    </xdr:from>
    <xdr:to>
      <xdr:col>5</xdr:col>
      <xdr:colOff>82033</xdr:colOff>
      <xdr:row>9</xdr:row>
      <xdr:rowOff>122476</xdr:rowOff>
    </xdr:to>
    <xdr:sp macro="" textlink="">
      <xdr:nvSpPr>
        <xdr:cNvPr id="419" name="TextBox 418">
          <a:extLst>
            <a:ext uri="{FF2B5EF4-FFF2-40B4-BE49-F238E27FC236}">
              <a16:creationId xmlns:a16="http://schemas.microsoft.com/office/drawing/2014/main" id="{CC2CF225-F969-45B3-9CF0-99ACD6CC17C3}"/>
            </a:ext>
          </a:extLst>
        </xdr:cNvPr>
        <xdr:cNvSpPr txBox="1"/>
      </xdr:nvSpPr>
      <xdr:spPr>
        <a:xfrm>
          <a:off x="5567339" y="487622"/>
          <a:ext cx="1020341" cy="187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0.301 (0.157, 0.462)</a:t>
          </a:r>
        </a:p>
      </xdr:txBody>
    </xdr:sp>
    <xdr:clientData/>
  </xdr:twoCellAnchor>
  <xdr:twoCellAnchor>
    <xdr:from>
      <xdr:col>4</xdr:col>
      <xdr:colOff>1036903</xdr:colOff>
      <xdr:row>9</xdr:row>
      <xdr:rowOff>30226</xdr:rowOff>
    </xdr:from>
    <xdr:to>
      <xdr:col>4</xdr:col>
      <xdr:colOff>1589852</xdr:colOff>
      <xdr:row>10</xdr:row>
      <xdr:rowOff>34624</xdr:rowOff>
    </xdr:to>
    <xdr:sp macro="" textlink="">
      <xdr:nvSpPr>
        <xdr:cNvPr id="420" name="TextBox 419">
          <a:extLst>
            <a:ext uri="{FF2B5EF4-FFF2-40B4-BE49-F238E27FC236}">
              <a16:creationId xmlns:a16="http://schemas.microsoft.com/office/drawing/2014/main" id="{DF7DE9CD-E971-4B66-AEED-054CF4475170}"/>
            </a:ext>
          </a:extLst>
        </xdr:cNvPr>
        <xdr:cNvSpPr txBox="1"/>
      </xdr:nvSpPr>
      <xdr:spPr>
        <a:xfrm>
          <a:off x="5178514" y="1692985"/>
          <a:ext cx="552949" cy="187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p=7.0e-5</a:t>
          </a:r>
        </a:p>
      </xdr:txBody>
    </xdr:sp>
    <xdr:clientData/>
  </xdr:twoCellAnchor>
  <xdr:twoCellAnchor>
    <xdr:from>
      <xdr:col>4</xdr:col>
      <xdr:colOff>71096</xdr:colOff>
      <xdr:row>7</xdr:row>
      <xdr:rowOff>164067</xdr:rowOff>
    </xdr:from>
    <xdr:to>
      <xdr:col>4</xdr:col>
      <xdr:colOff>1135945</xdr:colOff>
      <xdr:row>8</xdr:row>
      <xdr:rowOff>164817</xdr:rowOff>
    </xdr:to>
    <xdr:sp macro="" textlink="">
      <xdr:nvSpPr>
        <xdr:cNvPr id="421" name="TextBox 420">
          <a:extLst>
            <a:ext uri="{FF2B5EF4-FFF2-40B4-BE49-F238E27FC236}">
              <a16:creationId xmlns:a16="http://schemas.microsoft.com/office/drawing/2014/main" id="{303B11D7-669E-4A51-A1B5-667C114C3CE0}"/>
            </a:ext>
          </a:extLst>
        </xdr:cNvPr>
        <xdr:cNvSpPr txBox="1"/>
      </xdr:nvSpPr>
      <xdr:spPr>
        <a:xfrm>
          <a:off x="4212707" y="1455234"/>
          <a:ext cx="1064849" cy="186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0.092 (-0.054, 0.238)</a:t>
          </a:r>
        </a:p>
      </xdr:txBody>
    </xdr:sp>
    <xdr:clientData/>
  </xdr:twoCellAnchor>
  <xdr:twoCellAnchor>
    <xdr:from>
      <xdr:col>5</xdr:col>
      <xdr:colOff>17310</xdr:colOff>
      <xdr:row>2</xdr:row>
      <xdr:rowOff>48215</xdr:rowOff>
    </xdr:from>
    <xdr:to>
      <xdr:col>5</xdr:col>
      <xdr:colOff>124838</xdr:colOff>
      <xdr:row>3</xdr:row>
      <xdr:rowOff>60311</xdr:rowOff>
    </xdr:to>
    <xdr:grpSp>
      <xdr:nvGrpSpPr>
        <xdr:cNvPr id="425" name="Group 424">
          <a:extLst>
            <a:ext uri="{FF2B5EF4-FFF2-40B4-BE49-F238E27FC236}">
              <a16:creationId xmlns:a16="http://schemas.microsoft.com/office/drawing/2014/main" id="{E27D9DE0-6DA4-4A57-B7D5-056792FC1CF9}"/>
            </a:ext>
          </a:extLst>
        </xdr:cNvPr>
        <xdr:cNvGrpSpPr/>
      </xdr:nvGrpSpPr>
      <xdr:grpSpPr>
        <a:xfrm>
          <a:off x="6128861" y="421439"/>
          <a:ext cx="107528" cy="198709"/>
          <a:chOff x="3534893" y="449217"/>
          <a:chExt cx="107528" cy="194976"/>
        </a:xfrm>
      </xdr:grpSpPr>
      <xdr:cxnSp macro="">
        <xdr:nvCxnSpPr>
          <xdr:cNvPr id="426" name="Straight Arrow Connector 425">
            <a:extLst>
              <a:ext uri="{FF2B5EF4-FFF2-40B4-BE49-F238E27FC236}">
                <a16:creationId xmlns:a16="http://schemas.microsoft.com/office/drawing/2014/main" id="{27FADB18-1F85-879F-1B96-68766C6DE675}"/>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27" name="Right Bracket 426">
            <a:extLst>
              <a:ext uri="{FF2B5EF4-FFF2-40B4-BE49-F238E27FC236}">
                <a16:creationId xmlns:a16="http://schemas.microsoft.com/office/drawing/2014/main" id="{DDF78E83-DE16-2746-3117-B57D51EC8275}"/>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2</xdr:row>
      <xdr:rowOff>53032</xdr:rowOff>
    </xdr:from>
    <xdr:to>
      <xdr:col>5</xdr:col>
      <xdr:colOff>1082334</xdr:colOff>
      <xdr:row>4</xdr:row>
      <xdr:rowOff>122739</xdr:rowOff>
    </xdr:to>
    <xdr:grpSp>
      <xdr:nvGrpSpPr>
        <xdr:cNvPr id="428" name="Group 427">
          <a:extLst>
            <a:ext uri="{FF2B5EF4-FFF2-40B4-BE49-F238E27FC236}">
              <a16:creationId xmlns:a16="http://schemas.microsoft.com/office/drawing/2014/main" id="{03B7B310-DACF-4899-AE0C-A91EFBEC4C18}"/>
            </a:ext>
          </a:extLst>
        </xdr:cNvPr>
        <xdr:cNvGrpSpPr/>
      </xdr:nvGrpSpPr>
      <xdr:grpSpPr>
        <a:xfrm>
          <a:off x="7078120" y="426256"/>
          <a:ext cx="115765" cy="442932"/>
          <a:chOff x="3534893" y="449217"/>
          <a:chExt cx="107528" cy="194976"/>
        </a:xfrm>
      </xdr:grpSpPr>
      <xdr:cxnSp macro="">
        <xdr:nvCxnSpPr>
          <xdr:cNvPr id="429" name="Straight Arrow Connector 428">
            <a:extLst>
              <a:ext uri="{FF2B5EF4-FFF2-40B4-BE49-F238E27FC236}">
                <a16:creationId xmlns:a16="http://schemas.microsoft.com/office/drawing/2014/main" id="{BBC4CEEA-E3B4-1DE8-2829-D5AC1E944119}"/>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30" name="Right Bracket 429">
            <a:extLst>
              <a:ext uri="{FF2B5EF4-FFF2-40B4-BE49-F238E27FC236}">
                <a16:creationId xmlns:a16="http://schemas.microsoft.com/office/drawing/2014/main" id="{1031F0D5-22CA-6C8A-5B01-EB9614278179}"/>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2</xdr:row>
      <xdr:rowOff>83354</xdr:rowOff>
    </xdr:from>
    <xdr:to>
      <xdr:col>5</xdr:col>
      <xdr:colOff>637352</xdr:colOff>
      <xdr:row>3</xdr:row>
      <xdr:rowOff>87752</xdr:rowOff>
    </xdr:to>
    <xdr:sp macro="" textlink="">
      <xdr:nvSpPr>
        <xdr:cNvPr id="431" name="TextBox 430">
          <a:extLst>
            <a:ext uri="{FF2B5EF4-FFF2-40B4-BE49-F238E27FC236}">
              <a16:creationId xmlns:a16="http://schemas.microsoft.com/office/drawing/2014/main" id="{D89FBC75-5338-4E87-B3AC-F3E87031D1C0}"/>
            </a:ext>
          </a:extLst>
        </xdr:cNvPr>
        <xdr:cNvSpPr txBox="1"/>
      </xdr:nvSpPr>
      <xdr:spPr>
        <a:xfrm>
          <a:off x="6182006" y="452595"/>
          <a:ext cx="570161" cy="187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p=3.0e-4</a:t>
          </a:r>
        </a:p>
      </xdr:txBody>
    </xdr:sp>
    <xdr:clientData/>
  </xdr:twoCellAnchor>
  <xdr:twoCellAnchor>
    <xdr:from>
      <xdr:col>5</xdr:col>
      <xdr:colOff>1035444</xdr:colOff>
      <xdr:row>2</xdr:row>
      <xdr:rowOff>118081</xdr:rowOff>
    </xdr:from>
    <xdr:to>
      <xdr:col>6</xdr:col>
      <xdr:colOff>82033</xdr:colOff>
      <xdr:row>3</xdr:row>
      <xdr:rowOff>122476</xdr:rowOff>
    </xdr:to>
    <xdr:sp macro="" textlink="">
      <xdr:nvSpPr>
        <xdr:cNvPr id="432" name="TextBox 431">
          <a:extLst>
            <a:ext uri="{FF2B5EF4-FFF2-40B4-BE49-F238E27FC236}">
              <a16:creationId xmlns:a16="http://schemas.microsoft.com/office/drawing/2014/main" id="{E8FA6728-7FAE-45AE-9419-14AD9E9E4EED}"/>
            </a:ext>
          </a:extLst>
        </xdr:cNvPr>
        <xdr:cNvSpPr txBox="1"/>
      </xdr:nvSpPr>
      <xdr:spPr>
        <a:xfrm>
          <a:off x="5567339" y="487622"/>
          <a:ext cx="1020341" cy="187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0.004 (0.002, 0.006)</a:t>
          </a:r>
        </a:p>
      </xdr:txBody>
    </xdr:sp>
    <xdr:clientData/>
  </xdr:twoCellAnchor>
  <xdr:twoCellAnchor>
    <xdr:from>
      <xdr:col>5</xdr:col>
      <xdr:colOff>1036903</xdr:colOff>
      <xdr:row>3</xdr:row>
      <xdr:rowOff>30226</xdr:rowOff>
    </xdr:from>
    <xdr:to>
      <xdr:col>5</xdr:col>
      <xdr:colOff>1639261</xdr:colOff>
      <xdr:row>4</xdr:row>
      <xdr:rowOff>34624</xdr:rowOff>
    </xdr:to>
    <xdr:sp macro="" textlink="">
      <xdr:nvSpPr>
        <xdr:cNvPr id="433" name="TextBox 432">
          <a:extLst>
            <a:ext uri="{FF2B5EF4-FFF2-40B4-BE49-F238E27FC236}">
              <a16:creationId xmlns:a16="http://schemas.microsoft.com/office/drawing/2014/main" id="{6E93841F-8C5E-4878-8172-AF5561D00294}"/>
            </a:ext>
          </a:extLst>
        </xdr:cNvPr>
        <xdr:cNvSpPr txBox="1"/>
      </xdr:nvSpPr>
      <xdr:spPr>
        <a:xfrm>
          <a:off x="7148911" y="580915"/>
          <a:ext cx="602358" cy="190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5</xdr:col>
      <xdr:colOff>71096</xdr:colOff>
      <xdr:row>1</xdr:row>
      <xdr:rowOff>164067</xdr:rowOff>
    </xdr:from>
    <xdr:to>
      <xdr:col>5</xdr:col>
      <xdr:colOff>1091957</xdr:colOff>
      <xdr:row>2</xdr:row>
      <xdr:rowOff>164817</xdr:rowOff>
    </xdr:to>
    <xdr:sp macro="" textlink="">
      <xdr:nvSpPr>
        <xdr:cNvPr id="434" name="TextBox 433">
          <a:extLst>
            <a:ext uri="{FF2B5EF4-FFF2-40B4-BE49-F238E27FC236}">
              <a16:creationId xmlns:a16="http://schemas.microsoft.com/office/drawing/2014/main" id="{4DA79ACD-04C8-4274-936D-649F118E68FB}"/>
            </a:ext>
          </a:extLst>
        </xdr:cNvPr>
        <xdr:cNvSpPr txBox="1"/>
      </xdr:nvSpPr>
      <xdr:spPr>
        <a:xfrm>
          <a:off x="4602991" y="347405"/>
          <a:ext cx="1020861" cy="186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0.001 (7e-4, 0.002)</a:t>
          </a:r>
        </a:p>
      </xdr:txBody>
    </xdr:sp>
    <xdr:clientData/>
  </xdr:twoCellAnchor>
  <xdr:twoCellAnchor>
    <xdr:from>
      <xdr:col>5</xdr:col>
      <xdr:colOff>17310</xdr:colOff>
      <xdr:row>5</xdr:row>
      <xdr:rowOff>48215</xdr:rowOff>
    </xdr:from>
    <xdr:to>
      <xdr:col>5</xdr:col>
      <xdr:colOff>124838</xdr:colOff>
      <xdr:row>6</xdr:row>
      <xdr:rowOff>60311</xdr:rowOff>
    </xdr:to>
    <xdr:grpSp>
      <xdr:nvGrpSpPr>
        <xdr:cNvPr id="439" name="Group 438">
          <a:extLst>
            <a:ext uri="{FF2B5EF4-FFF2-40B4-BE49-F238E27FC236}">
              <a16:creationId xmlns:a16="http://schemas.microsoft.com/office/drawing/2014/main" id="{CAA64C52-6F7A-437D-9B69-5A64A66D6626}"/>
            </a:ext>
          </a:extLst>
        </xdr:cNvPr>
        <xdr:cNvGrpSpPr/>
      </xdr:nvGrpSpPr>
      <xdr:grpSpPr>
        <a:xfrm>
          <a:off x="6128861" y="981276"/>
          <a:ext cx="107528" cy="198708"/>
          <a:chOff x="3534893" y="449217"/>
          <a:chExt cx="107528" cy="194976"/>
        </a:xfrm>
      </xdr:grpSpPr>
      <xdr:cxnSp macro="">
        <xdr:nvCxnSpPr>
          <xdr:cNvPr id="440" name="Straight Arrow Connector 439">
            <a:extLst>
              <a:ext uri="{FF2B5EF4-FFF2-40B4-BE49-F238E27FC236}">
                <a16:creationId xmlns:a16="http://schemas.microsoft.com/office/drawing/2014/main" id="{658B30D5-6B91-2555-ED89-38C1C029553B}"/>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41" name="Right Bracket 440">
            <a:extLst>
              <a:ext uri="{FF2B5EF4-FFF2-40B4-BE49-F238E27FC236}">
                <a16:creationId xmlns:a16="http://schemas.microsoft.com/office/drawing/2014/main" id="{38943581-CDB8-593F-F0EF-4D2B33D54E8E}"/>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5</xdr:row>
      <xdr:rowOff>53032</xdr:rowOff>
    </xdr:from>
    <xdr:to>
      <xdr:col>5</xdr:col>
      <xdr:colOff>1082334</xdr:colOff>
      <xdr:row>7</xdr:row>
      <xdr:rowOff>122739</xdr:rowOff>
    </xdr:to>
    <xdr:grpSp>
      <xdr:nvGrpSpPr>
        <xdr:cNvPr id="442" name="Group 441">
          <a:extLst>
            <a:ext uri="{FF2B5EF4-FFF2-40B4-BE49-F238E27FC236}">
              <a16:creationId xmlns:a16="http://schemas.microsoft.com/office/drawing/2014/main" id="{1C6C8322-BA7C-439E-8ADB-0B921D804A96}"/>
            </a:ext>
          </a:extLst>
        </xdr:cNvPr>
        <xdr:cNvGrpSpPr/>
      </xdr:nvGrpSpPr>
      <xdr:grpSpPr>
        <a:xfrm>
          <a:off x="7078120" y="986093"/>
          <a:ext cx="115765" cy="442932"/>
          <a:chOff x="3534893" y="449217"/>
          <a:chExt cx="107528" cy="194976"/>
        </a:xfrm>
      </xdr:grpSpPr>
      <xdr:cxnSp macro="">
        <xdr:nvCxnSpPr>
          <xdr:cNvPr id="443" name="Straight Arrow Connector 442">
            <a:extLst>
              <a:ext uri="{FF2B5EF4-FFF2-40B4-BE49-F238E27FC236}">
                <a16:creationId xmlns:a16="http://schemas.microsoft.com/office/drawing/2014/main" id="{9E5F1C77-EA09-39EC-97D1-986A9BDC0021}"/>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44" name="Right Bracket 443">
            <a:extLst>
              <a:ext uri="{FF2B5EF4-FFF2-40B4-BE49-F238E27FC236}">
                <a16:creationId xmlns:a16="http://schemas.microsoft.com/office/drawing/2014/main" id="{CE064B56-D9DF-0323-68C4-3E5AAEBC22A2}"/>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5</xdr:row>
      <xdr:rowOff>83354</xdr:rowOff>
    </xdr:from>
    <xdr:to>
      <xdr:col>5</xdr:col>
      <xdr:colOff>630296</xdr:colOff>
      <xdr:row>6</xdr:row>
      <xdr:rowOff>87752</xdr:rowOff>
    </xdr:to>
    <xdr:sp macro="" textlink="">
      <xdr:nvSpPr>
        <xdr:cNvPr id="445" name="TextBox 444">
          <a:extLst>
            <a:ext uri="{FF2B5EF4-FFF2-40B4-BE49-F238E27FC236}">
              <a16:creationId xmlns:a16="http://schemas.microsoft.com/office/drawing/2014/main" id="{9B18CD12-860B-47DC-86DB-3EBE67507922}"/>
            </a:ext>
          </a:extLst>
        </xdr:cNvPr>
        <xdr:cNvSpPr txBox="1"/>
      </xdr:nvSpPr>
      <xdr:spPr>
        <a:xfrm>
          <a:off x="6182006" y="1007632"/>
          <a:ext cx="563105" cy="187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p=3.7e-4</a:t>
          </a:r>
        </a:p>
      </xdr:txBody>
    </xdr:sp>
    <xdr:clientData/>
  </xdr:twoCellAnchor>
  <xdr:twoCellAnchor>
    <xdr:from>
      <xdr:col>5</xdr:col>
      <xdr:colOff>1035444</xdr:colOff>
      <xdr:row>5</xdr:row>
      <xdr:rowOff>118081</xdr:rowOff>
    </xdr:from>
    <xdr:to>
      <xdr:col>6</xdr:col>
      <xdr:colOff>82033</xdr:colOff>
      <xdr:row>6</xdr:row>
      <xdr:rowOff>122476</xdr:rowOff>
    </xdr:to>
    <xdr:sp macro="" textlink="">
      <xdr:nvSpPr>
        <xdr:cNvPr id="446" name="TextBox 445">
          <a:extLst>
            <a:ext uri="{FF2B5EF4-FFF2-40B4-BE49-F238E27FC236}">
              <a16:creationId xmlns:a16="http://schemas.microsoft.com/office/drawing/2014/main" id="{FFD53087-855E-4906-9038-1849FBE26AAE}"/>
            </a:ext>
          </a:extLst>
        </xdr:cNvPr>
        <xdr:cNvSpPr txBox="1"/>
      </xdr:nvSpPr>
      <xdr:spPr>
        <a:xfrm>
          <a:off x="7541091" y="487622"/>
          <a:ext cx="960183" cy="187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0.006 (0.003, 0.008)</a:t>
          </a:r>
        </a:p>
      </xdr:txBody>
    </xdr:sp>
    <xdr:clientData/>
  </xdr:twoCellAnchor>
  <xdr:twoCellAnchor>
    <xdr:from>
      <xdr:col>5</xdr:col>
      <xdr:colOff>1036903</xdr:colOff>
      <xdr:row>6</xdr:row>
      <xdr:rowOff>30226</xdr:rowOff>
    </xdr:from>
    <xdr:to>
      <xdr:col>5</xdr:col>
      <xdr:colOff>1613370</xdr:colOff>
      <xdr:row>7</xdr:row>
      <xdr:rowOff>34624</xdr:rowOff>
    </xdr:to>
    <xdr:sp macro="" textlink="">
      <xdr:nvSpPr>
        <xdr:cNvPr id="447" name="TextBox 446">
          <a:extLst>
            <a:ext uri="{FF2B5EF4-FFF2-40B4-BE49-F238E27FC236}">
              <a16:creationId xmlns:a16="http://schemas.microsoft.com/office/drawing/2014/main" id="{989AFCC9-6F66-46FE-9B7D-1B90420E724D}"/>
            </a:ext>
          </a:extLst>
        </xdr:cNvPr>
        <xdr:cNvSpPr txBox="1"/>
      </xdr:nvSpPr>
      <xdr:spPr>
        <a:xfrm>
          <a:off x="7151718" y="1137948"/>
          <a:ext cx="576467" cy="187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p=3.0e-5</a:t>
          </a:r>
        </a:p>
      </xdr:txBody>
    </xdr:sp>
    <xdr:clientData/>
  </xdr:twoCellAnchor>
  <xdr:twoCellAnchor>
    <xdr:from>
      <xdr:col>5</xdr:col>
      <xdr:colOff>71096</xdr:colOff>
      <xdr:row>4</xdr:row>
      <xdr:rowOff>164067</xdr:rowOff>
    </xdr:from>
    <xdr:to>
      <xdr:col>5</xdr:col>
      <xdr:colOff>1091957</xdr:colOff>
      <xdr:row>5</xdr:row>
      <xdr:rowOff>164817</xdr:rowOff>
    </xdr:to>
    <xdr:sp macro="" textlink="">
      <xdr:nvSpPr>
        <xdr:cNvPr id="448" name="TextBox 447">
          <a:extLst>
            <a:ext uri="{FF2B5EF4-FFF2-40B4-BE49-F238E27FC236}">
              <a16:creationId xmlns:a16="http://schemas.microsoft.com/office/drawing/2014/main" id="{F947F0A3-154F-4177-898E-7294B66D0784}"/>
            </a:ext>
          </a:extLst>
        </xdr:cNvPr>
        <xdr:cNvSpPr txBox="1"/>
      </xdr:nvSpPr>
      <xdr:spPr>
        <a:xfrm>
          <a:off x="6576743" y="347405"/>
          <a:ext cx="1020861" cy="186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0.003 (0.001, 0.004)</a:t>
          </a:r>
        </a:p>
      </xdr:txBody>
    </xdr:sp>
    <xdr:clientData/>
  </xdr:twoCellAnchor>
  <xdr:twoCellAnchor>
    <xdr:from>
      <xdr:col>5</xdr:col>
      <xdr:colOff>17310</xdr:colOff>
      <xdr:row>8</xdr:row>
      <xdr:rowOff>48215</xdr:rowOff>
    </xdr:from>
    <xdr:to>
      <xdr:col>5</xdr:col>
      <xdr:colOff>124838</xdr:colOff>
      <xdr:row>9</xdr:row>
      <xdr:rowOff>60311</xdr:rowOff>
    </xdr:to>
    <xdr:grpSp>
      <xdr:nvGrpSpPr>
        <xdr:cNvPr id="452" name="Group 451">
          <a:extLst>
            <a:ext uri="{FF2B5EF4-FFF2-40B4-BE49-F238E27FC236}">
              <a16:creationId xmlns:a16="http://schemas.microsoft.com/office/drawing/2014/main" id="{F63DC2C8-C720-407B-9040-335F215293AC}"/>
            </a:ext>
          </a:extLst>
        </xdr:cNvPr>
        <xdr:cNvGrpSpPr/>
      </xdr:nvGrpSpPr>
      <xdr:grpSpPr>
        <a:xfrm>
          <a:off x="6128861" y="1541113"/>
          <a:ext cx="107528" cy="198708"/>
          <a:chOff x="3534893" y="449217"/>
          <a:chExt cx="107528" cy="194976"/>
        </a:xfrm>
      </xdr:grpSpPr>
      <xdr:cxnSp macro="">
        <xdr:nvCxnSpPr>
          <xdr:cNvPr id="453" name="Straight Arrow Connector 452">
            <a:extLst>
              <a:ext uri="{FF2B5EF4-FFF2-40B4-BE49-F238E27FC236}">
                <a16:creationId xmlns:a16="http://schemas.microsoft.com/office/drawing/2014/main" id="{037E34AE-2A60-8673-BEEF-3960B5A38B83}"/>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54" name="Right Bracket 453">
            <a:extLst>
              <a:ext uri="{FF2B5EF4-FFF2-40B4-BE49-F238E27FC236}">
                <a16:creationId xmlns:a16="http://schemas.microsoft.com/office/drawing/2014/main" id="{7C8B7925-44F5-B6EC-4AE1-CB11E9F391FC}"/>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8</xdr:row>
      <xdr:rowOff>53032</xdr:rowOff>
    </xdr:from>
    <xdr:to>
      <xdr:col>5</xdr:col>
      <xdr:colOff>1082334</xdr:colOff>
      <xdr:row>10</xdr:row>
      <xdr:rowOff>122739</xdr:rowOff>
    </xdr:to>
    <xdr:grpSp>
      <xdr:nvGrpSpPr>
        <xdr:cNvPr id="455" name="Group 454">
          <a:extLst>
            <a:ext uri="{FF2B5EF4-FFF2-40B4-BE49-F238E27FC236}">
              <a16:creationId xmlns:a16="http://schemas.microsoft.com/office/drawing/2014/main" id="{4E50624A-CDB9-4AB7-953C-A7C5E8941593}"/>
            </a:ext>
          </a:extLst>
        </xdr:cNvPr>
        <xdr:cNvGrpSpPr/>
      </xdr:nvGrpSpPr>
      <xdr:grpSpPr>
        <a:xfrm>
          <a:off x="7078120" y="1545930"/>
          <a:ext cx="115765" cy="442931"/>
          <a:chOff x="3534893" y="449217"/>
          <a:chExt cx="107528" cy="194976"/>
        </a:xfrm>
      </xdr:grpSpPr>
      <xdr:cxnSp macro="">
        <xdr:nvCxnSpPr>
          <xdr:cNvPr id="456" name="Straight Arrow Connector 455">
            <a:extLst>
              <a:ext uri="{FF2B5EF4-FFF2-40B4-BE49-F238E27FC236}">
                <a16:creationId xmlns:a16="http://schemas.microsoft.com/office/drawing/2014/main" id="{792B2DEB-2FB6-F363-F0F6-451D461D7C04}"/>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57" name="Right Bracket 456">
            <a:extLst>
              <a:ext uri="{FF2B5EF4-FFF2-40B4-BE49-F238E27FC236}">
                <a16:creationId xmlns:a16="http://schemas.microsoft.com/office/drawing/2014/main" id="{0A15BE08-9443-E4F5-9F6F-6AF4F13E3CC9}"/>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8</xdr:row>
      <xdr:rowOff>83354</xdr:rowOff>
    </xdr:from>
    <xdr:to>
      <xdr:col>5</xdr:col>
      <xdr:colOff>587402</xdr:colOff>
      <xdr:row>9</xdr:row>
      <xdr:rowOff>87752</xdr:rowOff>
    </xdr:to>
    <xdr:sp macro="" textlink="">
      <xdr:nvSpPr>
        <xdr:cNvPr id="458" name="TextBox 457">
          <a:extLst>
            <a:ext uri="{FF2B5EF4-FFF2-40B4-BE49-F238E27FC236}">
              <a16:creationId xmlns:a16="http://schemas.microsoft.com/office/drawing/2014/main" id="{63B53B43-3370-4F13-B01B-D5CA64C16FA3}"/>
            </a:ext>
          </a:extLst>
        </xdr:cNvPr>
        <xdr:cNvSpPr txBox="1"/>
      </xdr:nvSpPr>
      <xdr:spPr>
        <a:xfrm>
          <a:off x="6572838" y="452895"/>
          <a:ext cx="520211" cy="187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p=0.237</a:t>
          </a:r>
        </a:p>
      </xdr:txBody>
    </xdr:sp>
    <xdr:clientData/>
  </xdr:twoCellAnchor>
  <xdr:twoCellAnchor>
    <xdr:from>
      <xdr:col>5</xdr:col>
      <xdr:colOff>1035444</xdr:colOff>
      <xdr:row>8</xdr:row>
      <xdr:rowOff>118081</xdr:rowOff>
    </xdr:from>
    <xdr:to>
      <xdr:col>6</xdr:col>
      <xdr:colOff>82033</xdr:colOff>
      <xdr:row>9</xdr:row>
      <xdr:rowOff>122476</xdr:rowOff>
    </xdr:to>
    <xdr:sp macro="" textlink="">
      <xdr:nvSpPr>
        <xdr:cNvPr id="459" name="TextBox 458">
          <a:extLst>
            <a:ext uri="{FF2B5EF4-FFF2-40B4-BE49-F238E27FC236}">
              <a16:creationId xmlns:a16="http://schemas.microsoft.com/office/drawing/2014/main" id="{934C696A-AA46-49F6-A11D-BE2B83DBDB77}"/>
            </a:ext>
          </a:extLst>
        </xdr:cNvPr>
        <xdr:cNvSpPr txBox="1"/>
      </xdr:nvSpPr>
      <xdr:spPr>
        <a:xfrm>
          <a:off x="7541091" y="487622"/>
          <a:ext cx="960183" cy="187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0.002 (2e-4, 0.004)</a:t>
          </a:r>
        </a:p>
      </xdr:txBody>
    </xdr:sp>
    <xdr:clientData/>
  </xdr:twoCellAnchor>
  <xdr:twoCellAnchor>
    <xdr:from>
      <xdr:col>5</xdr:col>
      <xdr:colOff>1036903</xdr:colOff>
      <xdr:row>9</xdr:row>
      <xdr:rowOff>30226</xdr:rowOff>
    </xdr:from>
    <xdr:to>
      <xdr:col>5</xdr:col>
      <xdr:colOff>1592204</xdr:colOff>
      <xdr:row>10</xdr:row>
      <xdr:rowOff>34624</xdr:rowOff>
    </xdr:to>
    <xdr:sp macro="" textlink="">
      <xdr:nvSpPr>
        <xdr:cNvPr id="460" name="TextBox 459">
          <a:extLst>
            <a:ext uri="{FF2B5EF4-FFF2-40B4-BE49-F238E27FC236}">
              <a16:creationId xmlns:a16="http://schemas.microsoft.com/office/drawing/2014/main" id="{FEBACDC5-C58D-4854-9879-18259A5198B0}"/>
            </a:ext>
          </a:extLst>
        </xdr:cNvPr>
        <xdr:cNvSpPr txBox="1"/>
      </xdr:nvSpPr>
      <xdr:spPr>
        <a:xfrm>
          <a:off x="7151718" y="1692985"/>
          <a:ext cx="555301" cy="187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p=0.028</a:t>
          </a:r>
        </a:p>
      </xdr:txBody>
    </xdr:sp>
    <xdr:clientData/>
  </xdr:twoCellAnchor>
  <xdr:twoCellAnchor>
    <xdr:from>
      <xdr:col>5</xdr:col>
      <xdr:colOff>71096</xdr:colOff>
      <xdr:row>7</xdr:row>
      <xdr:rowOff>164067</xdr:rowOff>
    </xdr:from>
    <xdr:to>
      <xdr:col>5</xdr:col>
      <xdr:colOff>1279407</xdr:colOff>
      <xdr:row>8</xdr:row>
      <xdr:rowOff>164817</xdr:rowOff>
    </xdr:to>
    <xdr:sp macro="" textlink="">
      <xdr:nvSpPr>
        <xdr:cNvPr id="461" name="TextBox 460">
          <a:extLst>
            <a:ext uri="{FF2B5EF4-FFF2-40B4-BE49-F238E27FC236}">
              <a16:creationId xmlns:a16="http://schemas.microsoft.com/office/drawing/2014/main" id="{6048EDB9-B722-4422-928A-1F58FA50181E}"/>
            </a:ext>
          </a:extLst>
        </xdr:cNvPr>
        <xdr:cNvSpPr txBox="1"/>
      </xdr:nvSpPr>
      <xdr:spPr>
        <a:xfrm>
          <a:off x="6185911" y="1455234"/>
          <a:ext cx="1208311" cy="186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3.0e-4 (-2.e-4, 7e-4)</a:t>
          </a:r>
        </a:p>
      </xdr:txBody>
    </xdr:sp>
    <xdr:clientData/>
  </xdr:twoCellAnchor>
  <xdr:twoCellAnchor>
    <xdr:from>
      <xdr:col>8</xdr:col>
      <xdr:colOff>17310</xdr:colOff>
      <xdr:row>2</xdr:row>
      <xdr:rowOff>48215</xdr:rowOff>
    </xdr:from>
    <xdr:to>
      <xdr:col>8</xdr:col>
      <xdr:colOff>124838</xdr:colOff>
      <xdr:row>3</xdr:row>
      <xdr:rowOff>60311</xdr:rowOff>
    </xdr:to>
    <xdr:grpSp>
      <xdr:nvGrpSpPr>
        <xdr:cNvPr id="466" name="Group 465">
          <a:extLst>
            <a:ext uri="{FF2B5EF4-FFF2-40B4-BE49-F238E27FC236}">
              <a16:creationId xmlns:a16="http://schemas.microsoft.com/office/drawing/2014/main" id="{B6E23964-13BE-4D3D-BFB6-9EF97F41F8E4}"/>
            </a:ext>
          </a:extLst>
        </xdr:cNvPr>
        <xdr:cNvGrpSpPr/>
      </xdr:nvGrpSpPr>
      <xdr:grpSpPr>
        <a:xfrm>
          <a:off x="10592004" y="421439"/>
          <a:ext cx="107528" cy="198709"/>
          <a:chOff x="3534893" y="449217"/>
          <a:chExt cx="107528" cy="194976"/>
        </a:xfrm>
      </xdr:grpSpPr>
      <xdr:cxnSp macro="">
        <xdr:nvCxnSpPr>
          <xdr:cNvPr id="467" name="Straight Arrow Connector 466">
            <a:extLst>
              <a:ext uri="{FF2B5EF4-FFF2-40B4-BE49-F238E27FC236}">
                <a16:creationId xmlns:a16="http://schemas.microsoft.com/office/drawing/2014/main" id="{CA477632-6AC4-F809-5848-82769F31C281}"/>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68" name="Right Bracket 467">
            <a:extLst>
              <a:ext uri="{FF2B5EF4-FFF2-40B4-BE49-F238E27FC236}">
                <a16:creationId xmlns:a16="http://schemas.microsoft.com/office/drawing/2014/main" id="{9622CDD8-E024-DA97-BB51-C258A7DB8F48}"/>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2</xdr:row>
      <xdr:rowOff>53032</xdr:rowOff>
    </xdr:from>
    <xdr:to>
      <xdr:col>8</xdr:col>
      <xdr:colOff>1082334</xdr:colOff>
      <xdr:row>4</xdr:row>
      <xdr:rowOff>122739</xdr:rowOff>
    </xdr:to>
    <xdr:grpSp>
      <xdr:nvGrpSpPr>
        <xdr:cNvPr id="469" name="Group 468">
          <a:extLst>
            <a:ext uri="{FF2B5EF4-FFF2-40B4-BE49-F238E27FC236}">
              <a16:creationId xmlns:a16="http://schemas.microsoft.com/office/drawing/2014/main" id="{FFC51B96-12CF-473F-B764-06495D246A66}"/>
            </a:ext>
          </a:extLst>
        </xdr:cNvPr>
        <xdr:cNvGrpSpPr/>
      </xdr:nvGrpSpPr>
      <xdr:grpSpPr>
        <a:xfrm>
          <a:off x="11541263" y="426256"/>
          <a:ext cx="115765" cy="442932"/>
          <a:chOff x="3534893" y="449217"/>
          <a:chExt cx="107528" cy="194976"/>
        </a:xfrm>
      </xdr:grpSpPr>
      <xdr:cxnSp macro="">
        <xdr:nvCxnSpPr>
          <xdr:cNvPr id="470" name="Straight Arrow Connector 469">
            <a:extLst>
              <a:ext uri="{FF2B5EF4-FFF2-40B4-BE49-F238E27FC236}">
                <a16:creationId xmlns:a16="http://schemas.microsoft.com/office/drawing/2014/main" id="{2B371082-B7A5-9AE4-8CB3-10A3F2B60C64}"/>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71" name="Right Bracket 470">
            <a:extLst>
              <a:ext uri="{FF2B5EF4-FFF2-40B4-BE49-F238E27FC236}">
                <a16:creationId xmlns:a16="http://schemas.microsoft.com/office/drawing/2014/main" id="{327B8127-43E4-577F-CC6C-B35AF431C29A}"/>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2</xdr:row>
      <xdr:rowOff>83354</xdr:rowOff>
    </xdr:from>
    <xdr:to>
      <xdr:col>8</xdr:col>
      <xdr:colOff>688362</xdr:colOff>
      <xdr:row>3</xdr:row>
      <xdr:rowOff>87752</xdr:rowOff>
    </xdr:to>
    <xdr:sp macro="" textlink="">
      <xdr:nvSpPr>
        <xdr:cNvPr id="472" name="TextBox 471">
          <a:extLst>
            <a:ext uri="{FF2B5EF4-FFF2-40B4-BE49-F238E27FC236}">
              <a16:creationId xmlns:a16="http://schemas.microsoft.com/office/drawing/2014/main" id="{2F67E112-4B7E-4BC0-BE4D-17B0BA8857E8}"/>
            </a:ext>
          </a:extLst>
        </xdr:cNvPr>
        <xdr:cNvSpPr txBox="1"/>
      </xdr:nvSpPr>
      <xdr:spPr>
        <a:xfrm>
          <a:off x="10642342" y="451547"/>
          <a:ext cx="621171" cy="18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8</xdr:col>
      <xdr:colOff>1035444</xdr:colOff>
      <xdr:row>2</xdr:row>
      <xdr:rowOff>118081</xdr:rowOff>
    </xdr:from>
    <xdr:to>
      <xdr:col>9</xdr:col>
      <xdr:colOff>82033</xdr:colOff>
      <xdr:row>3</xdr:row>
      <xdr:rowOff>122476</xdr:rowOff>
    </xdr:to>
    <xdr:sp macro="" textlink="">
      <xdr:nvSpPr>
        <xdr:cNvPr id="473" name="TextBox 472">
          <a:extLst>
            <a:ext uri="{FF2B5EF4-FFF2-40B4-BE49-F238E27FC236}">
              <a16:creationId xmlns:a16="http://schemas.microsoft.com/office/drawing/2014/main" id="{103CA910-1589-4E1C-8C38-6F52E2625993}"/>
            </a:ext>
          </a:extLst>
        </xdr:cNvPr>
        <xdr:cNvSpPr txBox="1"/>
      </xdr:nvSpPr>
      <xdr:spPr>
        <a:xfrm>
          <a:off x="6888650" y="487875"/>
          <a:ext cx="1059912" cy="187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0.420 (0.367, 0.472)</a:t>
          </a:r>
        </a:p>
      </xdr:txBody>
    </xdr:sp>
    <xdr:clientData/>
  </xdr:twoCellAnchor>
  <xdr:twoCellAnchor>
    <xdr:from>
      <xdr:col>8</xdr:col>
      <xdr:colOff>1036903</xdr:colOff>
      <xdr:row>3</xdr:row>
      <xdr:rowOff>30226</xdr:rowOff>
    </xdr:from>
    <xdr:to>
      <xdr:col>8</xdr:col>
      <xdr:colOff>1648866</xdr:colOff>
      <xdr:row>4</xdr:row>
      <xdr:rowOff>34624</xdr:rowOff>
    </xdr:to>
    <xdr:sp macro="" textlink="">
      <xdr:nvSpPr>
        <xdr:cNvPr id="474" name="TextBox 473">
          <a:extLst>
            <a:ext uri="{FF2B5EF4-FFF2-40B4-BE49-F238E27FC236}">
              <a16:creationId xmlns:a16="http://schemas.microsoft.com/office/drawing/2014/main" id="{E1348B0F-07F3-450B-8410-E6304E853769}"/>
            </a:ext>
          </a:extLst>
        </xdr:cNvPr>
        <xdr:cNvSpPr txBox="1"/>
      </xdr:nvSpPr>
      <xdr:spPr>
        <a:xfrm>
          <a:off x="11612054" y="580915"/>
          <a:ext cx="611963" cy="190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8</xdr:col>
      <xdr:colOff>71096</xdr:colOff>
      <xdr:row>1</xdr:row>
      <xdr:rowOff>164067</xdr:rowOff>
    </xdr:from>
    <xdr:to>
      <xdr:col>8</xdr:col>
      <xdr:colOff>1091957</xdr:colOff>
      <xdr:row>2</xdr:row>
      <xdr:rowOff>164817</xdr:rowOff>
    </xdr:to>
    <xdr:sp macro="" textlink="">
      <xdr:nvSpPr>
        <xdr:cNvPr id="475" name="TextBox 474">
          <a:extLst>
            <a:ext uri="{FF2B5EF4-FFF2-40B4-BE49-F238E27FC236}">
              <a16:creationId xmlns:a16="http://schemas.microsoft.com/office/drawing/2014/main" id="{85034F61-E863-4FDB-AA19-818A4D922528}"/>
            </a:ext>
          </a:extLst>
        </xdr:cNvPr>
        <xdr:cNvSpPr txBox="1"/>
      </xdr:nvSpPr>
      <xdr:spPr>
        <a:xfrm>
          <a:off x="5924302" y="347096"/>
          <a:ext cx="1020861" cy="18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0.252 (0.205, 0.230)</a:t>
          </a:r>
        </a:p>
      </xdr:txBody>
    </xdr:sp>
    <xdr:clientData/>
  </xdr:twoCellAnchor>
  <xdr:twoCellAnchor>
    <xdr:from>
      <xdr:col>8</xdr:col>
      <xdr:colOff>17310</xdr:colOff>
      <xdr:row>5</xdr:row>
      <xdr:rowOff>48215</xdr:rowOff>
    </xdr:from>
    <xdr:to>
      <xdr:col>8</xdr:col>
      <xdr:colOff>124838</xdr:colOff>
      <xdr:row>6</xdr:row>
      <xdr:rowOff>60311</xdr:rowOff>
    </xdr:to>
    <xdr:grpSp>
      <xdr:nvGrpSpPr>
        <xdr:cNvPr id="480" name="Group 479">
          <a:extLst>
            <a:ext uri="{FF2B5EF4-FFF2-40B4-BE49-F238E27FC236}">
              <a16:creationId xmlns:a16="http://schemas.microsoft.com/office/drawing/2014/main" id="{EFCC9AF8-F15C-4989-820B-43BA535B07E7}"/>
            </a:ext>
          </a:extLst>
        </xdr:cNvPr>
        <xdr:cNvGrpSpPr/>
      </xdr:nvGrpSpPr>
      <xdr:grpSpPr>
        <a:xfrm>
          <a:off x="10592004" y="981276"/>
          <a:ext cx="107528" cy="198708"/>
          <a:chOff x="3534893" y="449217"/>
          <a:chExt cx="107528" cy="194976"/>
        </a:xfrm>
      </xdr:grpSpPr>
      <xdr:cxnSp macro="">
        <xdr:nvCxnSpPr>
          <xdr:cNvPr id="481" name="Straight Arrow Connector 480">
            <a:extLst>
              <a:ext uri="{FF2B5EF4-FFF2-40B4-BE49-F238E27FC236}">
                <a16:creationId xmlns:a16="http://schemas.microsoft.com/office/drawing/2014/main" id="{7A8563FD-BD5D-BFAF-17C2-5FD2CF764600}"/>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82" name="Right Bracket 481">
            <a:extLst>
              <a:ext uri="{FF2B5EF4-FFF2-40B4-BE49-F238E27FC236}">
                <a16:creationId xmlns:a16="http://schemas.microsoft.com/office/drawing/2014/main" id="{E481DF35-E188-2F92-BC3E-D2FF08E39CC3}"/>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5</xdr:row>
      <xdr:rowOff>53032</xdr:rowOff>
    </xdr:from>
    <xdr:to>
      <xdr:col>8</xdr:col>
      <xdr:colOff>1082334</xdr:colOff>
      <xdr:row>7</xdr:row>
      <xdr:rowOff>122739</xdr:rowOff>
    </xdr:to>
    <xdr:grpSp>
      <xdr:nvGrpSpPr>
        <xdr:cNvPr id="483" name="Group 482">
          <a:extLst>
            <a:ext uri="{FF2B5EF4-FFF2-40B4-BE49-F238E27FC236}">
              <a16:creationId xmlns:a16="http://schemas.microsoft.com/office/drawing/2014/main" id="{25D0987F-8991-4FA9-A012-E17919697B8C}"/>
            </a:ext>
          </a:extLst>
        </xdr:cNvPr>
        <xdr:cNvGrpSpPr/>
      </xdr:nvGrpSpPr>
      <xdr:grpSpPr>
        <a:xfrm>
          <a:off x="11541263" y="986093"/>
          <a:ext cx="115765" cy="442932"/>
          <a:chOff x="3534893" y="449217"/>
          <a:chExt cx="107528" cy="194976"/>
        </a:xfrm>
      </xdr:grpSpPr>
      <xdr:cxnSp macro="">
        <xdr:nvCxnSpPr>
          <xdr:cNvPr id="484" name="Straight Arrow Connector 483">
            <a:extLst>
              <a:ext uri="{FF2B5EF4-FFF2-40B4-BE49-F238E27FC236}">
                <a16:creationId xmlns:a16="http://schemas.microsoft.com/office/drawing/2014/main" id="{B8FF1E66-D318-925F-9B7C-1A695DAF032A}"/>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85" name="Right Bracket 484">
            <a:extLst>
              <a:ext uri="{FF2B5EF4-FFF2-40B4-BE49-F238E27FC236}">
                <a16:creationId xmlns:a16="http://schemas.microsoft.com/office/drawing/2014/main" id="{B80C781B-6ADD-8C16-2898-978B8D4E6576}"/>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5</xdr:row>
      <xdr:rowOff>83354</xdr:rowOff>
    </xdr:from>
    <xdr:to>
      <xdr:col>8</xdr:col>
      <xdr:colOff>688362</xdr:colOff>
      <xdr:row>6</xdr:row>
      <xdr:rowOff>87752</xdr:rowOff>
    </xdr:to>
    <xdr:sp macro="" textlink="">
      <xdr:nvSpPr>
        <xdr:cNvPr id="486" name="TextBox 485">
          <a:extLst>
            <a:ext uri="{FF2B5EF4-FFF2-40B4-BE49-F238E27FC236}">
              <a16:creationId xmlns:a16="http://schemas.microsoft.com/office/drawing/2014/main" id="{F82D041B-80D9-4636-B08F-4D027E7EB3D9}"/>
            </a:ext>
          </a:extLst>
        </xdr:cNvPr>
        <xdr:cNvSpPr txBox="1"/>
      </xdr:nvSpPr>
      <xdr:spPr>
        <a:xfrm>
          <a:off x="10642342" y="1005438"/>
          <a:ext cx="621171" cy="18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8</xdr:col>
      <xdr:colOff>1035444</xdr:colOff>
      <xdr:row>5</xdr:row>
      <xdr:rowOff>118081</xdr:rowOff>
    </xdr:from>
    <xdr:to>
      <xdr:col>9</xdr:col>
      <xdr:colOff>82033</xdr:colOff>
      <xdr:row>6</xdr:row>
      <xdr:rowOff>122476</xdr:rowOff>
    </xdr:to>
    <xdr:sp macro="" textlink="">
      <xdr:nvSpPr>
        <xdr:cNvPr id="487" name="TextBox 486">
          <a:extLst>
            <a:ext uri="{FF2B5EF4-FFF2-40B4-BE49-F238E27FC236}">
              <a16:creationId xmlns:a16="http://schemas.microsoft.com/office/drawing/2014/main" id="{0C0242E6-58F6-4D85-AC72-F0C5D09E0BC2}"/>
            </a:ext>
          </a:extLst>
        </xdr:cNvPr>
        <xdr:cNvSpPr txBox="1"/>
      </xdr:nvSpPr>
      <xdr:spPr>
        <a:xfrm>
          <a:off x="11038562" y="487875"/>
          <a:ext cx="1112206" cy="187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0.392 (0.323, 0.460)</a:t>
          </a:r>
        </a:p>
      </xdr:txBody>
    </xdr:sp>
    <xdr:clientData/>
  </xdr:twoCellAnchor>
  <xdr:twoCellAnchor>
    <xdr:from>
      <xdr:col>8</xdr:col>
      <xdr:colOff>1036903</xdr:colOff>
      <xdr:row>6</xdr:row>
      <xdr:rowOff>30226</xdr:rowOff>
    </xdr:from>
    <xdr:to>
      <xdr:col>8</xdr:col>
      <xdr:colOff>1626454</xdr:colOff>
      <xdr:row>7</xdr:row>
      <xdr:rowOff>34624</xdr:rowOff>
    </xdr:to>
    <xdr:sp macro="" textlink="">
      <xdr:nvSpPr>
        <xdr:cNvPr id="488" name="TextBox 487">
          <a:extLst>
            <a:ext uri="{FF2B5EF4-FFF2-40B4-BE49-F238E27FC236}">
              <a16:creationId xmlns:a16="http://schemas.microsoft.com/office/drawing/2014/main" id="{B5F020F6-6A46-4073-AD92-B7503C9ABD94}"/>
            </a:ext>
          </a:extLst>
        </xdr:cNvPr>
        <xdr:cNvSpPr txBox="1"/>
      </xdr:nvSpPr>
      <xdr:spPr>
        <a:xfrm>
          <a:off x="11612054" y="1134806"/>
          <a:ext cx="589551" cy="18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8</xdr:col>
      <xdr:colOff>71096</xdr:colOff>
      <xdr:row>4</xdr:row>
      <xdr:rowOff>164067</xdr:rowOff>
    </xdr:from>
    <xdr:to>
      <xdr:col>8</xdr:col>
      <xdr:colOff>1091957</xdr:colOff>
      <xdr:row>5</xdr:row>
      <xdr:rowOff>164817</xdr:rowOff>
    </xdr:to>
    <xdr:sp macro="" textlink="">
      <xdr:nvSpPr>
        <xdr:cNvPr id="489" name="TextBox 488">
          <a:extLst>
            <a:ext uri="{FF2B5EF4-FFF2-40B4-BE49-F238E27FC236}">
              <a16:creationId xmlns:a16="http://schemas.microsoft.com/office/drawing/2014/main" id="{026C30E4-8127-47D6-877B-536F3F1E3528}"/>
            </a:ext>
          </a:extLst>
        </xdr:cNvPr>
        <xdr:cNvSpPr txBox="1"/>
      </xdr:nvSpPr>
      <xdr:spPr>
        <a:xfrm>
          <a:off x="10074214" y="347096"/>
          <a:ext cx="1020861" cy="18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0.301 (0.241, 0.307)</a:t>
          </a:r>
        </a:p>
      </xdr:txBody>
    </xdr:sp>
    <xdr:clientData/>
  </xdr:twoCellAnchor>
  <xdr:twoCellAnchor>
    <xdr:from>
      <xdr:col>8</xdr:col>
      <xdr:colOff>17310</xdr:colOff>
      <xdr:row>8</xdr:row>
      <xdr:rowOff>48215</xdr:rowOff>
    </xdr:from>
    <xdr:to>
      <xdr:col>8</xdr:col>
      <xdr:colOff>124838</xdr:colOff>
      <xdr:row>9</xdr:row>
      <xdr:rowOff>60311</xdr:rowOff>
    </xdr:to>
    <xdr:grpSp>
      <xdr:nvGrpSpPr>
        <xdr:cNvPr id="493" name="Group 492">
          <a:extLst>
            <a:ext uri="{FF2B5EF4-FFF2-40B4-BE49-F238E27FC236}">
              <a16:creationId xmlns:a16="http://schemas.microsoft.com/office/drawing/2014/main" id="{E153FA80-376E-4EA5-A84B-58AFB6F51C75}"/>
            </a:ext>
          </a:extLst>
        </xdr:cNvPr>
        <xdr:cNvGrpSpPr/>
      </xdr:nvGrpSpPr>
      <xdr:grpSpPr>
        <a:xfrm>
          <a:off x="10592004" y="1541113"/>
          <a:ext cx="107528" cy="198708"/>
          <a:chOff x="3534893" y="449217"/>
          <a:chExt cx="107528" cy="194976"/>
        </a:xfrm>
      </xdr:grpSpPr>
      <xdr:cxnSp macro="">
        <xdr:nvCxnSpPr>
          <xdr:cNvPr id="494" name="Straight Arrow Connector 493">
            <a:extLst>
              <a:ext uri="{FF2B5EF4-FFF2-40B4-BE49-F238E27FC236}">
                <a16:creationId xmlns:a16="http://schemas.microsoft.com/office/drawing/2014/main" id="{911D7648-0437-66CC-08A0-763836C6039F}"/>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95" name="Right Bracket 494">
            <a:extLst>
              <a:ext uri="{FF2B5EF4-FFF2-40B4-BE49-F238E27FC236}">
                <a16:creationId xmlns:a16="http://schemas.microsoft.com/office/drawing/2014/main" id="{91891F38-FC19-A315-5181-61B0C93DBB46}"/>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8</xdr:row>
      <xdr:rowOff>53032</xdr:rowOff>
    </xdr:from>
    <xdr:to>
      <xdr:col>8</xdr:col>
      <xdr:colOff>1082334</xdr:colOff>
      <xdr:row>10</xdr:row>
      <xdr:rowOff>122739</xdr:rowOff>
    </xdr:to>
    <xdr:grpSp>
      <xdr:nvGrpSpPr>
        <xdr:cNvPr id="496" name="Group 495">
          <a:extLst>
            <a:ext uri="{FF2B5EF4-FFF2-40B4-BE49-F238E27FC236}">
              <a16:creationId xmlns:a16="http://schemas.microsoft.com/office/drawing/2014/main" id="{64433834-586C-4A6F-8C6B-00720759F5E3}"/>
            </a:ext>
          </a:extLst>
        </xdr:cNvPr>
        <xdr:cNvGrpSpPr/>
      </xdr:nvGrpSpPr>
      <xdr:grpSpPr>
        <a:xfrm>
          <a:off x="11541263" y="1545930"/>
          <a:ext cx="115765" cy="442931"/>
          <a:chOff x="3534893" y="449217"/>
          <a:chExt cx="107528" cy="194976"/>
        </a:xfrm>
      </xdr:grpSpPr>
      <xdr:cxnSp macro="">
        <xdr:nvCxnSpPr>
          <xdr:cNvPr id="497" name="Straight Arrow Connector 496">
            <a:extLst>
              <a:ext uri="{FF2B5EF4-FFF2-40B4-BE49-F238E27FC236}">
                <a16:creationId xmlns:a16="http://schemas.microsoft.com/office/drawing/2014/main" id="{AE16EBBE-5844-95E9-11B4-ABF4D1615D67}"/>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98" name="Right Bracket 497">
            <a:extLst>
              <a:ext uri="{FF2B5EF4-FFF2-40B4-BE49-F238E27FC236}">
                <a16:creationId xmlns:a16="http://schemas.microsoft.com/office/drawing/2014/main" id="{247DD41F-2E72-E77D-DE6D-B77D47B05539}"/>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8</xdr:row>
      <xdr:rowOff>83354</xdr:rowOff>
    </xdr:from>
    <xdr:to>
      <xdr:col>8</xdr:col>
      <xdr:colOff>639703</xdr:colOff>
      <xdr:row>9</xdr:row>
      <xdr:rowOff>87752</xdr:rowOff>
    </xdr:to>
    <xdr:sp macro="" textlink="">
      <xdr:nvSpPr>
        <xdr:cNvPr id="499" name="TextBox 498">
          <a:extLst>
            <a:ext uri="{FF2B5EF4-FFF2-40B4-BE49-F238E27FC236}">
              <a16:creationId xmlns:a16="http://schemas.microsoft.com/office/drawing/2014/main" id="{399C8B9D-3A60-45A7-B6F9-11619A17B643}"/>
            </a:ext>
          </a:extLst>
        </xdr:cNvPr>
        <xdr:cNvSpPr txBox="1"/>
      </xdr:nvSpPr>
      <xdr:spPr>
        <a:xfrm>
          <a:off x="10645821" y="1560317"/>
          <a:ext cx="572512" cy="19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p=8.0e-5</a:t>
          </a:r>
        </a:p>
      </xdr:txBody>
    </xdr:sp>
    <xdr:clientData/>
  </xdr:twoCellAnchor>
  <xdr:twoCellAnchor>
    <xdr:from>
      <xdr:col>8</xdr:col>
      <xdr:colOff>1035444</xdr:colOff>
      <xdr:row>8</xdr:row>
      <xdr:rowOff>118081</xdr:rowOff>
    </xdr:from>
    <xdr:to>
      <xdr:col>9</xdr:col>
      <xdr:colOff>82033</xdr:colOff>
      <xdr:row>9</xdr:row>
      <xdr:rowOff>122476</xdr:rowOff>
    </xdr:to>
    <xdr:sp macro="" textlink="">
      <xdr:nvSpPr>
        <xdr:cNvPr id="500" name="TextBox 499">
          <a:extLst>
            <a:ext uri="{FF2B5EF4-FFF2-40B4-BE49-F238E27FC236}">
              <a16:creationId xmlns:a16="http://schemas.microsoft.com/office/drawing/2014/main" id="{AD180B5E-26CB-44CD-AAE2-702E824DD360}"/>
            </a:ext>
          </a:extLst>
        </xdr:cNvPr>
        <xdr:cNvSpPr txBox="1"/>
      </xdr:nvSpPr>
      <xdr:spPr>
        <a:xfrm>
          <a:off x="11038562" y="487875"/>
          <a:ext cx="1112206" cy="187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0.490 (0.405, 0.568)</a:t>
          </a:r>
        </a:p>
      </xdr:txBody>
    </xdr:sp>
    <xdr:clientData/>
  </xdr:twoCellAnchor>
  <xdr:twoCellAnchor>
    <xdr:from>
      <xdr:col>8</xdr:col>
      <xdr:colOff>1036903</xdr:colOff>
      <xdr:row>9</xdr:row>
      <xdr:rowOff>30226</xdr:rowOff>
    </xdr:from>
    <xdr:to>
      <xdr:col>8</xdr:col>
      <xdr:colOff>1645664</xdr:colOff>
      <xdr:row>10</xdr:row>
      <xdr:rowOff>34624</xdr:rowOff>
    </xdr:to>
    <xdr:sp macro="" textlink="">
      <xdr:nvSpPr>
        <xdr:cNvPr id="501" name="TextBox 500">
          <a:extLst>
            <a:ext uri="{FF2B5EF4-FFF2-40B4-BE49-F238E27FC236}">
              <a16:creationId xmlns:a16="http://schemas.microsoft.com/office/drawing/2014/main" id="{5F025427-32A9-4249-81BF-9C499459C670}"/>
            </a:ext>
          </a:extLst>
        </xdr:cNvPr>
        <xdr:cNvSpPr txBox="1"/>
      </xdr:nvSpPr>
      <xdr:spPr>
        <a:xfrm>
          <a:off x="11612054" y="1688697"/>
          <a:ext cx="608761" cy="18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8</xdr:col>
      <xdr:colOff>71096</xdr:colOff>
      <xdr:row>7</xdr:row>
      <xdr:rowOff>164067</xdr:rowOff>
    </xdr:from>
    <xdr:to>
      <xdr:col>8</xdr:col>
      <xdr:colOff>1091957</xdr:colOff>
      <xdr:row>8</xdr:row>
      <xdr:rowOff>164817</xdr:rowOff>
    </xdr:to>
    <xdr:sp macro="" textlink="">
      <xdr:nvSpPr>
        <xdr:cNvPr id="502" name="TextBox 501">
          <a:extLst>
            <a:ext uri="{FF2B5EF4-FFF2-40B4-BE49-F238E27FC236}">
              <a16:creationId xmlns:a16="http://schemas.microsoft.com/office/drawing/2014/main" id="{440C8371-E0CB-4BD2-B6F9-6AA358928EFF}"/>
            </a:ext>
          </a:extLst>
        </xdr:cNvPr>
        <xdr:cNvSpPr txBox="1"/>
      </xdr:nvSpPr>
      <xdr:spPr>
        <a:xfrm>
          <a:off x="10074214" y="347096"/>
          <a:ext cx="1020861" cy="18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0.161</a:t>
          </a:r>
          <a:r>
            <a:rPr lang="en-GB" sz="800" b="1" baseline="0">
              <a:solidFill>
                <a:sysClr val="windowText" lastClr="000000"/>
              </a:solidFill>
            </a:rPr>
            <a:t> </a:t>
          </a:r>
          <a:r>
            <a:rPr lang="en-GB" sz="800" b="1">
              <a:solidFill>
                <a:sysClr val="windowText" lastClr="000000"/>
              </a:solidFill>
            </a:rPr>
            <a:t>(0.081, 0.241)</a:t>
          </a:r>
        </a:p>
      </xdr:txBody>
    </xdr:sp>
    <xdr:clientData/>
  </xdr:twoCellAnchor>
  <xdr:twoCellAnchor>
    <xdr:from>
      <xdr:col>9</xdr:col>
      <xdr:colOff>17310</xdr:colOff>
      <xdr:row>2</xdr:row>
      <xdr:rowOff>48215</xdr:rowOff>
    </xdr:from>
    <xdr:to>
      <xdr:col>9</xdr:col>
      <xdr:colOff>124838</xdr:colOff>
      <xdr:row>3</xdr:row>
      <xdr:rowOff>60311</xdr:rowOff>
    </xdr:to>
    <xdr:grpSp>
      <xdr:nvGrpSpPr>
        <xdr:cNvPr id="509" name="Group 508">
          <a:extLst>
            <a:ext uri="{FF2B5EF4-FFF2-40B4-BE49-F238E27FC236}">
              <a16:creationId xmlns:a16="http://schemas.microsoft.com/office/drawing/2014/main" id="{3EBC22FE-8B1F-4C43-98AE-D6DB3C57B451}"/>
            </a:ext>
          </a:extLst>
        </xdr:cNvPr>
        <xdr:cNvGrpSpPr/>
      </xdr:nvGrpSpPr>
      <xdr:grpSpPr>
        <a:xfrm>
          <a:off x="12660290" y="421439"/>
          <a:ext cx="107528" cy="198709"/>
          <a:chOff x="3534893" y="449217"/>
          <a:chExt cx="107528" cy="194976"/>
        </a:xfrm>
      </xdr:grpSpPr>
      <xdr:cxnSp macro="">
        <xdr:nvCxnSpPr>
          <xdr:cNvPr id="510" name="Straight Arrow Connector 509">
            <a:extLst>
              <a:ext uri="{FF2B5EF4-FFF2-40B4-BE49-F238E27FC236}">
                <a16:creationId xmlns:a16="http://schemas.microsoft.com/office/drawing/2014/main" id="{9A092B64-15B6-8818-BEEE-24789E75D103}"/>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511" name="Right Bracket 510">
            <a:extLst>
              <a:ext uri="{FF2B5EF4-FFF2-40B4-BE49-F238E27FC236}">
                <a16:creationId xmlns:a16="http://schemas.microsoft.com/office/drawing/2014/main" id="{7AFB2872-2635-D6EC-B42C-F453914BD563}"/>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2</xdr:row>
      <xdr:rowOff>53032</xdr:rowOff>
    </xdr:from>
    <xdr:to>
      <xdr:col>9</xdr:col>
      <xdr:colOff>1082334</xdr:colOff>
      <xdr:row>4</xdr:row>
      <xdr:rowOff>122739</xdr:rowOff>
    </xdr:to>
    <xdr:grpSp>
      <xdr:nvGrpSpPr>
        <xdr:cNvPr id="512" name="Group 511">
          <a:extLst>
            <a:ext uri="{FF2B5EF4-FFF2-40B4-BE49-F238E27FC236}">
              <a16:creationId xmlns:a16="http://schemas.microsoft.com/office/drawing/2014/main" id="{8F39B7CA-C319-4A6F-991E-44E98588A663}"/>
            </a:ext>
          </a:extLst>
        </xdr:cNvPr>
        <xdr:cNvGrpSpPr/>
      </xdr:nvGrpSpPr>
      <xdr:grpSpPr>
        <a:xfrm>
          <a:off x="13609549" y="426256"/>
          <a:ext cx="115765" cy="442932"/>
          <a:chOff x="3534893" y="449217"/>
          <a:chExt cx="107528" cy="194976"/>
        </a:xfrm>
      </xdr:grpSpPr>
      <xdr:cxnSp macro="">
        <xdr:nvCxnSpPr>
          <xdr:cNvPr id="513" name="Straight Arrow Connector 512">
            <a:extLst>
              <a:ext uri="{FF2B5EF4-FFF2-40B4-BE49-F238E27FC236}">
                <a16:creationId xmlns:a16="http://schemas.microsoft.com/office/drawing/2014/main" id="{4D7BF299-7DD9-AC56-7865-D2D448688EBD}"/>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514" name="Right Bracket 513">
            <a:extLst>
              <a:ext uri="{FF2B5EF4-FFF2-40B4-BE49-F238E27FC236}">
                <a16:creationId xmlns:a16="http://schemas.microsoft.com/office/drawing/2014/main" id="{2F4CA0EA-4A1E-6638-DE76-A14D4AE92C6A}"/>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2</xdr:row>
      <xdr:rowOff>83354</xdr:rowOff>
    </xdr:from>
    <xdr:to>
      <xdr:col>9</xdr:col>
      <xdr:colOff>685160</xdr:colOff>
      <xdr:row>3</xdr:row>
      <xdr:rowOff>87752</xdr:rowOff>
    </xdr:to>
    <xdr:sp macro="" textlink="">
      <xdr:nvSpPr>
        <xdr:cNvPr id="515" name="TextBox 514">
          <a:extLst>
            <a:ext uri="{FF2B5EF4-FFF2-40B4-BE49-F238E27FC236}">
              <a16:creationId xmlns:a16="http://schemas.microsoft.com/office/drawing/2014/main" id="{CB7DFBFF-07FF-4949-A97C-E18A7B8A77AD}"/>
            </a:ext>
          </a:extLst>
        </xdr:cNvPr>
        <xdr:cNvSpPr txBox="1"/>
      </xdr:nvSpPr>
      <xdr:spPr>
        <a:xfrm>
          <a:off x="12707426" y="451547"/>
          <a:ext cx="617969" cy="18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9</xdr:col>
      <xdr:colOff>1035444</xdr:colOff>
      <xdr:row>2</xdr:row>
      <xdr:rowOff>118081</xdr:rowOff>
    </xdr:from>
    <xdr:to>
      <xdr:col>10</xdr:col>
      <xdr:colOff>82033</xdr:colOff>
      <xdr:row>3</xdr:row>
      <xdr:rowOff>122476</xdr:rowOff>
    </xdr:to>
    <xdr:sp macro="" textlink="">
      <xdr:nvSpPr>
        <xdr:cNvPr id="516" name="TextBox 515">
          <a:extLst>
            <a:ext uri="{FF2B5EF4-FFF2-40B4-BE49-F238E27FC236}">
              <a16:creationId xmlns:a16="http://schemas.microsoft.com/office/drawing/2014/main" id="{2E5FB2B4-969B-4891-9108-BEF0EBAC228F}"/>
            </a:ext>
          </a:extLst>
        </xdr:cNvPr>
        <xdr:cNvSpPr txBox="1"/>
      </xdr:nvSpPr>
      <xdr:spPr>
        <a:xfrm>
          <a:off x="11038562" y="1593522"/>
          <a:ext cx="1112206" cy="187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0.016 (0.014, 0.019)</a:t>
          </a:r>
        </a:p>
      </xdr:txBody>
    </xdr:sp>
    <xdr:clientData/>
  </xdr:twoCellAnchor>
  <xdr:twoCellAnchor>
    <xdr:from>
      <xdr:col>9</xdr:col>
      <xdr:colOff>1036903</xdr:colOff>
      <xdr:row>3</xdr:row>
      <xdr:rowOff>30226</xdr:rowOff>
    </xdr:from>
    <xdr:to>
      <xdr:col>9</xdr:col>
      <xdr:colOff>1629656</xdr:colOff>
      <xdr:row>4</xdr:row>
      <xdr:rowOff>34624</xdr:rowOff>
    </xdr:to>
    <xdr:sp macro="" textlink="">
      <xdr:nvSpPr>
        <xdr:cNvPr id="517" name="TextBox 516">
          <a:extLst>
            <a:ext uri="{FF2B5EF4-FFF2-40B4-BE49-F238E27FC236}">
              <a16:creationId xmlns:a16="http://schemas.microsoft.com/office/drawing/2014/main" id="{D7FC695F-D967-4C01-96F0-2B1F77D6B20A}"/>
            </a:ext>
          </a:extLst>
        </xdr:cNvPr>
        <xdr:cNvSpPr txBox="1"/>
      </xdr:nvSpPr>
      <xdr:spPr>
        <a:xfrm>
          <a:off x="13677138" y="580915"/>
          <a:ext cx="592753" cy="190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9</xdr:col>
      <xdr:colOff>71096</xdr:colOff>
      <xdr:row>1</xdr:row>
      <xdr:rowOff>164067</xdr:rowOff>
    </xdr:from>
    <xdr:to>
      <xdr:col>9</xdr:col>
      <xdr:colOff>1091957</xdr:colOff>
      <xdr:row>2</xdr:row>
      <xdr:rowOff>164817</xdr:rowOff>
    </xdr:to>
    <xdr:sp macro="" textlink="">
      <xdr:nvSpPr>
        <xdr:cNvPr id="518" name="TextBox 517">
          <a:extLst>
            <a:ext uri="{FF2B5EF4-FFF2-40B4-BE49-F238E27FC236}">
              <a16:creationId xmlns:a16="http://schemas.microsoft.com/office/drawing/2014/main" id="{F96561B4-5CDA-4416-B32B-C664766B47A6}"/>
            </a:ext>
          </a:extLst>
        </xdr:cNvPr>
        <xdr:cNvSpPr txBox="1"/>
      </xdr:nvSpPr>
      <xdr:spPr>
        <a:xfrm>
          <a:off x="10074214" y="1452743"/>
          <a:ext cx="1020861" cy="18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0.007 (0.005, 0.008)</a:t>
          </a:r>
        </a:p>
      </xdr:txBody>
    </xdr:sp>
    <xdr:clientData/>
  </xdr:twoCellAnchor>
  <xdr:twoCellAnchor>
    <xdr:from>
      <xdr:col>9</xdr:col>
      <xdr:colOff>17310</xdr:colOff>
      <xdr:row>5</xdr:row>
      <xdr:rowOff>48215</xdr:rowOff>
    </xdr:from>
    <xdr:to>
      <xdr:col>9</xdr:col>
      <xdr:colOff>124838</xdr:colOff>
      <xdr:row>6</xdr:row>
      <xdr:rowOff>60311</xdr:rowOff>
    </xdr:to>
    <xdr:grpSp>
      <xdr:nvGrpSpPr>
        <xdr:cNvPr id="524" name="Group 523">
          <a:extLst>
            <a:ext uri="{FF2B5EF4-FFF2-40B4-BE49-F238E27FC236}">
              <a16:creationId xmlns:a16="http://schemas.microsoft.com/office/drawing/2014/main" id="{A9201532-CA14-4BCB-AACA-98353BDC84AB}"/>
            </a:ext>
          </a:extLst>
        </xdr:cNvPr>
        <xdr:cNvGrpSpPr/>
      </xdr:nvGrpSpPr>
      <xdr:grpSpPr>
        <a:xfrm>
          <a:off x="12660290" y="981276"/>
          <a:ext cx="107528" cy="198708"/>
          <a:chOff x="3534893" y="449217"/>
          <a:chExt cx="107528" cy="194976"/>
        </a:xfrm>
      </xdr:grpSpPr>
      <xdr:cxnSp macro="">
        <xdr:nvCxnSpPr>
          <xdr:cNvPr id="525" name="Straight Arrow Connector 524">
            <a:extLst>
              <a:ext uri="{FF2B5EF4-FFF2-40B4-BE49-F238E27FC236}">
                <a16:creationId xmlns:a16="http://schemas.microsoft.com/office/drawing/2014/main" id="{220B0D2E-178C-1CDA-7A6D-35BC3566F5CD}"/>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526" name="Right Bracket 525">
            <a:extLst>
              <a:ext uri="{FF2B5EF4-FFF2-40B4-BE49-F238E27FC236}">
                <a16:creationId xmlns:a16="http://schemas.microsoft.com/office/drawing/2014/main" id="{CD67361D-9A0B-0E58-5184-763C2C0E89E8}"/>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5</xdr:row>
      <xdr:rowOff>53032</xdr:rowOff>
    </xdr:from>
    <xdr:to>
      <xdr:col>9</xdr:col>
      <xdr:colOff>1082334</xdr:colOff>
      <xdr:row>7</xdr:row>
      <xdr:rowOff>122739</xdr:rowOff>
    </xdr:to>
    <xdr:grpSp>
      <xdr:nvGrpSpPr>
        <xdr:cNvPr id="527" name="Group 526">
          <a:extLst>
            <a:ext uri="{FF2B5EF4-FFF2-40B4-BE49-F238E27FC236}">
              <a16:creationId xmlns:a16="http://schemas.microsoft.com/office/drawing/2014/main" id="{DFFF7675-9716-4BA4-BCB5-674F2D9992B9}"/>
            </a:ext>
          </a:extLst>
        </xdr:cNvPr>
        <xdr:cNvGrpSpPr/>
      </xdr:nvGrpSpPr>
      <xdr:grpSpPr>
        <a:xfrm>
          <a:off x="13609549" y="986093"/>
          <a:ext cx="115765" cy="442932"/>
          <a:chOff x="3534893" y="449217"/>
          <a:chExt cx="107528" cy="194976"/>
        </a:xfrm>
      </xdr:grpSpPr>
      <xdr:cxnSp macro="">
        <xdr:nvCxnSpPr>
          <xdr:cNvPr id="528" name="Straight Arrow Connector 527">
            <a:extLst>
              <a:ext uri="{FF2B5EF4-FFF2-40B4-BE49-F238E27FC236}">
                <a16:creationId xmlns:a16="http://schemas.microsoft.com/office/drawing/2014/main" id="{BE49540B-83A7-F480-43A9-2477B6FD9812}"/>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529" name="Right Bracket 528">
            <a:extLst>
              <a:ext uri="{FF2B5EF4-FFF2-40B4-BE49-F238E27FC236}">
                <a16:creationId xmlns:a16="http://schemas.microsoft.com/office/drawing/2014/main" id="{32DF6D0D-5D11-5BE9-1E8B-51D5E606A90A}"/>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5</xdr:row>
      <xdr:rowOff>83354</xdr:rowOff>
    </xdr:from>
    <xdr:to>
      <xdr:col>9</xdr:col>
      <xdr:colOff>723580</xdr:colOff>
      <xdr:row>6</xdr:row>
      <xdr:rowOff>87752</xdr:rowOff>
    </xdr:to>
    <xdr:sp macro="" textlink="">
      <xdr:nvSpPr>
        <xdr:cNvPr id="530" name="TextBox 529">
          <a:extLst>
            <a:ext uri="{FF2B5EF4-FFF2-40B4-BE49-F238E27FC236}">
              <a16:creationId xmlns:a16="http://schemas.microsoft.com/office/drawing/2014/main" id="{4FF87562-3C7D-44C5-826C-8A81FF6005B3}"/>
            </a:ext>
          </a:extLst>
        </xdr:cNvPr>
        <xdr:cNvSpPr txBox="1"/>
      </xdr:nvSpPr>
      <xdr:spPr>
        <a:xfrm>
          <a:off x="12707426" y="1005438"/>
          <a:ext cx="656389" cy="18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9</xdr:col>
      <xdr:colOff>1035444</xdr:colOff>
      <xdr:row>5</xdr:row>
      <xdr:rowOff>118081</xdr:rowOff>
    </xdr:from>
    <xdr:to>
      <xdr:col>10</xdr:col>
      <xdr:colOff>82033</xdr:colOff>
      <xdr:row>6</xdr:row>
      <xdr:rowOff>122476</xdr:rowOff>
    </xdr:to>
    <xdr:sp macro="" textlink="">
      <xdr:nvSpPr>
        <xdr:cNvPr id="531" name="TextBox 530">
          <a:extLst>
            <a:ext uri="{FF2B5EF4-FFF2-40B4-BE49-F238E27FC236}">
              <a16:creationId xmlns:a16="http://schemas.microsoft.com/office/drawing/2014/main" id="{41FB7E18-950C-42BF-AE4E-C2EE799602AB}"/>
            </a:ext>
          </a:extLst>
        </xdr:cNvPr>
        <xdr:cNvSpPr txBox="1"/>
      </xdr:nvSpPr>
      <xdr:spPr>
        <a:xfrm>
          <a:off x="11038562" y="1593522"/>
          <a:ext cx="1112206" cy="187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0.016 (0.013, 0.019)</a:t>
          </a:r>
        </a:p>
      </xdr:txBody>
    </xdr:sp>
    <xdr:clientData/>
  </xdr:twoCellAnchor>
  <xdr:twoCellAnchor>
    <xdr:from>
      <xdr:col>9</xdr:col>
      <xdr:colOff>1036903</xdr:colOff>
      <xdr:row>6</xdr:row>
      <xdr:rowOff>30226</xdr:rowOff>
    </xdr:from>
    <xdr:to>
      <xdr:col>9</xdr:col>
      <xdr:colOff>1620051</xdr:colOff>
      <xdr:row>7</xdr:row>
      <xdr:rowOff>34624</xdr:rowOff>
    </xdr:to>
    <xdr:sp macro="" textlink="">
      <xdr:nvSpPr>
        <xdr:cNvPr id="532" name="TextBox 531">
          <a:extLst>
            <a:ext uri="{FF2B5EF4-FFF2-40B4-BE49-F238E27FC236}">
              <a16:creationId xmlns:a16="http://schemas.microsoft.com/office/drawing/2014/main" id="{8470D3C6-AB8A-4EC7-9C02-F44D344AD0B0}"/>
            </a:ext>
          </a:extLst>
        </xdr:cNvPr>
        <xdr:cNvSpPr txBox="1"/>
      </xdr:nvSpPr>
      <xdr:spPr>
        <a:xfrm>
          <a:off x="13677138" y="1134806"/>
          <a:ext cx="583148" cy="18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9</xdr:col>
      <xdr:colOff>71096</xdr:colOff>
      <xdr:row>4</xdr:row>
      <xdr:rowOff>164067</xdr:rowOff>
    </xdr:from>
    <xdr:to>
      <xdr:col>9</xdr:col>
      <xdr:colOff>1091957</xdr:colOff>
      <xdr:row>5</xdr:row>
      <xdr:rowOff>164817</xdr:rowOff>
    </xdr:to>
    <xdr:sp macro="" textlink="">
      <xdr:nvSpPr>
        <xdr:cNvPr id="533" name="TextBox 532">
          <a:extLst>
            <a:ext uri="{FF2B5EF4-FFF2-40B4-BE49-F238E27FC236}">
              <a16:creationId xmlns:a16="http://schemas.microsoft.com/office/drawing/2014/main" id="{8CA70E05-0BF4-41A6-B778-61071330D421}"/>
            </a:ext>
          </a:extLst>
        </xdr:cNvPr>
        <xdr:cNvSpPr txBox="1"/>
      </xdr:nvSpPr>
      <xdr:spPr>
        <a:xfrm>
          <a:off x="10074214" y="1452743"/>
          <a:ext cx="1020861" cy="18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0.011 (0.008, 0.013)</a:t>
          </a:r>
        </a:p>
      </xdr:txBody>
    </xdr:sp>
    <xdr:clientData/>
  </xdr:twoCellAnchor>
  <xdr:twoCellAnchor>
    <xdr:from>
      <xdr:col>9</xdr:col>
      <xdr:colOff>17310</xdr:colOff>
      <xdr:row>8</xdr:row>
      <xdr:rowOff>48215</xdr:rowOff>
    </xdr:from>
    <xdr:to>
      <xdr:col>9</xdr:col>
      <xdr:colOff>124838</xdr:colOff>
      <xdr:row>9</xdr:row>
      <xdr:rowOff>60311</xdr:rowOff>
    </xdr:to>
    <xdr:grpSp>
      <xdr:nvGrpSpPr>
        <xdr:cNvPr id="540" name="Group 539">
          <a:extLst>
            <a:ext uri="{FF2B5EF4-FFF2-40B4-BE49-F238E27FC236}">
              <a16:creationId xmlns:a16="http://schemas.microsoft.com/office/drawing/2014/main" id="{0C4288DD-10C4-4856-AB85-57B5112B9ABD}"/>
            </a:ext>
          </a:extLst>
        </xdr:cNvPr>
        <xdr:cNvGrpSpPr/>
      </xdr:nvGrpSpPr>
      <xdr:grpSpPr>
        <a:xfrm>
          <a:off x="12660290" y="1541113"/>
          <a:ext cx="107528" cy="198708"/>
          <a:chOff x="3534893" y="449217"/>
          <a:chExt cx="107528" cy="194976"/>
        </a:xfrm>
      </xdr:grpSpPr>
      <xdr:cxnSp macro="">
        <xdr:nvCxnSpPr>
          <xdr:cNvPr id="541" name="Straight Arrow Connector 540">
            <a:extLst>
              <a:ext uri="{FF2B5EF4-FFF2-40B4-BE49-F238E27FC236}">
                <a16:creationId xmlns:a16="http://schemas.microsoft.com/office/drawing/2014/main" id="{31CCD046-3868-5BAD-1E03-26038A519030}"/>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542" name="Right Bracket 541">
            <a:extLst>
              <a:ext uri="{FF2B5EF4-FFF2-40B4-BE49-F238E27FC236}">
                <a16:creationId xmlns:a16="http://schemas.microsoft.com/office/drawing/2014/main" id="{47B39443-B54D-A963-9910-6D267F98FDC6}"/>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8</xdr:row>
      <xdr:rowOff>53032</xdr:rowOff>
    </xdr:from>
    <xdr:to>
      <xdr:col>9</xdr:col>
      <xdr:colOff>1082334</xdr:colOff>
      <xdr:row>10</xdr:row>
      <xdr:rowOff>122739</xdr:rowOff>
    </xdr:to>
    <xdr:grpSp>
      <xdr:nvGrpSpPr>
        <xdr:cNvPr id="543" name="Group 542">
          <a:extLst>
            <a:ext uri="{FF2B5EF4-FFF2-40B4-BE49-F238E27FC236}">
              <a16:creationId xmlns:a16="http://schemas.microsoft.com/office/drawing/2014/main" id="{5FBD4297-E186-4A9E-B8E8-BBE2C25831F8}"/>
            </a:ext>
          </a:extLst>
        </xdr:cNvPr>
        <xdr:cNvGrpSpPr/>
      </xdr:nvGrpSpPr>
      <xdr:grpSpPr>
        <a:xfrm>
          <a:off x="13609549" y="1545930"/>
          <a:ext cx="115765" cy="442931"/>
          <a:chOff x="3534893" y="449217"/>
          <a:chExt cx="107528" cy="194976"/>
        </a:xfrm>
      </xdr:grpSpPr>
      <xdr:cxnSp macro="">
        <xdr:nvCxnSpPr>
          <xdr:cNvPr id="544" name="Straight Arrow Connector 543">
            <a:extLst>
              <a:ext uri="{FF2B5EF4-FFF2-40B4-BE49-F238E27FC236}">
                <a16:creationId xmlns:a16="http://schemas.microsoft.com/office/drawing/2014/main" id="{E3D767E2-6C42-B5C6-C97B-451746257BB3}"/>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545" name="Right Bracket 544">
            <a:extLst>
              <a:ext uri="{FF2B5EF4-FFF2-40B4-BE49-F238E27FC236}">
                <a16:creationId xmlns:a16="http://schemas.microsoft.com/office/drawing/2014/main" id="{067F51D8-FC8F-2968-D99F-144A683C9958}"/>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8</xdr:row>
      <xdr:rowOff>83354</xdr:rowOff>
    </xdr:from>
    <xdr:to>
      <xdr:col>9</xdr:col>
      <xdr:colOff>672353</xdr:colOff>
      <xdr:row>9</xdr:row>
      <xdr:rowOff>87752</xdr:rowOff>
    </xdr:to>
    <xdr:sp macro="" textlink="">
      <xdr:nvSpPr>
        <xdr:cNvPr id="546" name="TextBox 545">
          <a:extLst>
            <a:ext uri="{FF2B5EF4-FFF2-40B4-BE49-F238E27FC236}">
              <a16:creationId xmlns:a16="http://schemas.microsoft.com/office/drawing/2014/main" id="{6E9F7A8C-C497-4BA9-896C-3B8681016216}"/>
            </a:ext>
          </a:extLst>
        </xdr:cNvPr>
        <xdr:cNvSpPr txBox="1"/>
      </xdr:nvSpPr>
      <xdr:spPr>
        <a:xfrm>
          <a:off x="12707426" y="1556127"/>
          <a:ext cx="605162" cy="190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p=0.002</a:t>
          </a:r>
        </a:p>
      </xdr:txBody>
    </xdr:sp>
    <xdr:clientData/>
  </xdr:twoCellAnchor>
  <xdr:twoCellAnchor>
    <xdr:from>
      <xdr:col>9</xdr:col>
      <xdr:colOff>1035444</xdr:colOff>
      <xdr:row>8</xdr:row>
      <xdr:rowOff>118081</xdr:rowOff>
    </xdr:from>
    <xdr:to>
      <xdr:col>10</xdr:col>
      <xdr:colOff>82033</xdr:colOff>
      <xdr:row>9</xdr:row>
      <xdr:rowOff>122476</xdr:rowOff>
    </xdr:to>
    <xdr:sp macro="" textlink="">
      <xdr:nvSpPr>
        <xdr:cNvPr id="547" name="TextBox 546">
          <a:extLst>
            <a:ext uri="{FF2B5EF4-FFF2-40B4-BE49-F238E27FC236}">
              <a16:creationId xmlns:a16="http://schemas.microsoft.com/office/drawing/2014/main" id="{A1E134C4-99C3-48F5-928A-346DCE797D59}"/>
            </a:ext>
          </a:extLst>
        </xdr:cNvPr>
        <xdr:cNvSpPr txBox="1"/>
      </xdr:nvSpPr>
      <xdr:spPr>
        <a:xfrm>
          <a:off x="13104179" y="1040699"/>
          <a:ext cx="1059913" cy="187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0.017 (0.013, 0.020)</a:t>
          </a:r>
        </a:p>
      </xdr:txBody>
    </xdr:sp>
    <xdr:clientData/>
  </xdr:twoCellAnchor>
  <xdr:twoCellAnchor>
    <xdr:from>
      <xdr:col>9</xdr:col>
      <xdr:colOff>1036903</xdr:colOff>
      <xdr:row>9</xdr:row>
      <xdr:rowOff>30226</xdr:rowOff>
    </xdr:from>
    <xdr:to>
      <xdr:col>9</xdr:col>
      <xdr:colOff>1696891</xdr:colOff>
      <xdr:row>10</xdr:row>
      <xdr:rowOff>34624</xdr:rowOff>
    </xdr:to>
    <xdr:sp macro="" textlink="">
      <xdr:nvSpPr>
        <xdr:cNvPr id="548" name="TextBox 547">
          <a:extLst>
            <a:ext uri="{FF2B5EF4-FFF2-40B4-BE49-F238E27FC236}">
              <a16:creationId xmlns:a16="http://schemas.microsoft.com/office/drawing/2014/main" id="{0C70C3FF-25F5-4275-AAB7-B7F24030128E}"/>
            </a:ext>
          </a:extLst>
        </xdr:cNvPr>
        <xdr:cNvSpPr txBox="1"/>
      </xdr:nvSpPr>
      <xdr:spPr>
        <a:xfrm>
          <a:off x="13677138" y="1688697"/>
          <a:ext cx="659988" cy="18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9</xdr:col>
      <xdr:colOff>71096</xdr:colOff>
      <xdr:row>7</xdr:row>
      <xdr:rowOff>164067</xdr:rowOff>
    </xdr:from>
    <xdr:to>
      <xdr:col>9</xdr:col>
      <xdr:colOff>1091957</xdr:colOff>
      <xdr:row>8</xdr:row>
      <xdr:rowOff>164817</xdr:rowOff>
    </xdr:to>
    <xdr:sp macro="" textlink="">
      <xdr:nvSpPr>
        <xdr:cNvPr id="549" name="TextBox 548">
          <a:extLst>
            <a:ext uri="{FF2B5EF4-FFF2-40B4-BE49-F238E27FC236}">
              <a16:creationId xmlns:a16="http://schemas.microsoft.com/office/drawing/2014/main" id="{AC3608EA-0B6C-4AA6-A4FD-A06BC90FF2B9}"/>
            </a:ext>
          </a:extLst>
        </xdr:cNvPr>
        <xdr:cNvSpPr txBox="1"/>
      </xdr:nvSpPr>
      <xdr:spPr>
        <a:xfrm>
          <a:off x="12139831" y="899920"/>
          <a:ext cx="1020861" cy="18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0.002 (7e-4, 0.003)</a:t>
          </a:r>
        </a:p>
      </xdr:txBody>
    </xdr:sp>
    <xdr:clientData/>
  </xdr:twoCellAnchor>
  <xdr:twoCellAnchor>
    <xdr:from>
      <xdr:col>3</xdr:col>
      <xdr:colOff>69086</xdr:colOff>
      <xdr:row>5</xdr:row>
      <xdr:rowOff>22698</xdr:rowOff>
    </xdr:from>
    <xdr:to>
      <xdr:col>3</xdr:col>
      <xdr:colOff>589297</xdr:colOff>
      <xdr:row>6</xdr:row>
      <xdr:rowOff>27096</xdr:rowOff>
    </xdr:to>
    <xdr:sp macro="" textlink="">
      <xdr:nvSpPr>
        <xdr:cNvPr id="556" name="TextBox 555">
          <a:extLst>
            <a:ext uri="{FF2B5EF4-FFF2-40B4-BE49-F238E27FC236}">
              <a16:creationId xmlns:a16="http://schemas.microsoft.com/office/drawing/2014/main" id="{CFCDDCB9-3073-4EE5-878D-68040FE43DBB}"/>
            </a:ext>
          </a:extLst>
        </xdr:cNvPr>
        <xdr:cNvSpPr txBox="1"/>
      </xdr:nvSpPr>
      <xdr:spPr>
        <a:xfrm>
          <a:off x="2785072" y="392812"/>
          <a:ext cx="520211" cy="1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p=0.699</a:t>
          </a:r>
        </a:p>
      </xdr:txBody>
    </xdr:sp>
    <xdr:clientData/>
  </xdr:twoCellAnchor>
  <xdr:twoCellAnchor>
    <xdr:from>
      <xdr:col>3</xdr:col>
      <xdr:colOff>593538</xdr:colOff>
      <xdr:row>5</xdr:row>
      <xdr:rowOff>147043</xdr:rowOff>
    </xdr:from>
    <xdr:to>
      <xdr:col>4</xdr:col>
      <xdr:colOff>36012</xdr:colOff>
      <xdr:row>6</xdr:row>
      <xdr:rowOff>151442</xdr:rowOff>
    </xdr:to>
    <xdr:sp macro="" textlink="">
      <xdr:nvSpPr>
        <xdr:cNvPr id="563" name="TextBox 562">
          <a:extLst>
            <a:ext uri="{FF2B5EF4-FFF2-40B4-BE49-F238E27FC236}">
              <a16:creationId xmlns:a16="http://schemas.microsoft.com/office/drawing/2014/main" id="{1D1E0898-DBC0-4135-8C14-DD11E29A66B4}"/>
            </a:ext>
          </a:extLst>
        </xdr:cNvPr>
        <xdr:cNvSpPr txBox="1"/>
      </xdr:nvSpPr>
      <xdr:spPr>
        <a:xfrm>
          <a:off x="3309524" y="517157"/>
          <a:ext cx="607245" cy="186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p=0.469</a:t>
          </a:r>
        </a:p>
      </xdr:txBody>
    </xdr:sp>
    <xdr:clientData/>
  </xdr:twoCellAnchor>
  <xdr:twoCellAnchor>
    <xdr:from>
      <xdr:col>3</xdr:col>
      <xdr:colOff>68168</xdr:colOff>
      <xdr:row>6</xdr:row>
      <xdr:rowOff>110652</xdr:rowOff>
    </xdr:from>
    <xdr:to>
      <xdr:col>3</xdr:col>
      <xdr:colOff>588379</xdr:colOff>
      <xdr:row>7</xdr:row>
      <xdr:rowOff>115050</xdr:rowOff>
    </xdr:to>
    <xdr:sp macro="" textlink="">
      <xdr:nvSpPr>
        <xdr:cNvPr id="567" name="TextBox 566">
          <a:extLst>
            <a:ext uri="{FF2B5EF4-FFF2-40B4-BE49-F238E27FC236}">
              <a16:creationId xmlns:a16="http://schemas.microsoft.com/office/drawing/2014/main" id="{647D2019-F989-4073-A971-876C95F2472D}"/>
            </a:ext>
          </a:extLst>
        </xdr:cNvPr>
        <xdr:cNvSpPr txBox="1"/>
      </xdr:nvSpPr>
      <xdr:spPr>
        <a:xfrm>
          <a:off x="2784154" y="663102"/>
          <a:ext cx="520211" cy="1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p=0.723</a:t>
          </a:r>
        </a:p>
      </xdr:txBody>
    </xdr:sp>
    <xdr:clientData/>
  </xdr:twoCellAnchor>
  <xdr:twoCellAnchor>
    <xdr:from>
      <xdr:col>3</xdr:col>
      <xdr:colOff>69086</xdr:colOff>
      <xdr:row>8</xdr:row>
      <xdr:rowOff>22698</xdr:rowOff>
    </xdr:from>
    <xdr:to>
      <xdr:col>3</xdr:col>
      <xdr:colOff>589297</xdr:colOff>
      <xdr:row>9</xdr:row>
      <xdr:rowOff>27096</xdr:rowOff>
    </xdr:to>
    <xdr:sp macro="" textlink="">
      <xdr:nvSpPr>
        <xdr:cNvPr id="574" name="TextBox 573">
          <a:extLst>
            <a:ext uri="{FF2B5EF4-FFF2-40B4-BE49-F238E27FC236}">
              <a16:creationId xmlns:a16="http://schemas.microsoft.com/office/drawing/2014/main" id="{DCA16B14-C196-4B56-AE1E-BFF330B456B5}"/>
            </a:ext>
          </a:extLst>
        </xdr:cNvPr>
        <xdr:cNvSpPr txBox="1"/>
      </xdr:nvSpPr>
      <xdr:spPr>
        <a:xfrm>
          <a:off x="2785072" y="392812"/>
          <a:ext cx="520211" cy="1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p=0.969</a:t>
          </a:r>
        </a:p>
      </xdr:txBody>
    </xdr:sp>
    <xdr:clientData/>
  </xdr:twoCellAnchor>
  <xdr:twoCellAnchor>
    <xdr:from>
      <xdr:col>3</xdr:col>
      <xdr:colOff>593538</xdr:colOff>
      <xdr:row>8</xdr:row>
      <xdr:rowOff>147043</xdr:rowOff>
    </xdr:from>
    <xdr:to>
      <xdr:col>4</xdr:col>
      <xdr:colOff>36012</xdr:colOff>
      <xdr:row>9</xdr:row>
      <xdr:rowOff>151442</xdr:rowOff>
    </xdr:to>
    <xdr:sp macro="" textlink="">
      <xdr:nvSpPr>
        <xdr:cNvPr id="581" name="TextBox 580">
          <a:extLst>
            <a:ext uri="{FF2B5EF4-FFF2-40B4-BE49-F238E27FC236}">
              <a16:creationId xmlns:a16="http://schemas.microsoft.com/office/drawing/2014/main" id="{16A1B4E4-1E73-4924-A110-E7A1D190590D}"/>
            </a:ext>
          </a:extLst>
        </xdr:cNvPr>
        <xdr:cNvSpPr txBox="1"/>
      </xdr:nvSpPr>
      <xdr:spPr>
        <a:xfrm>
          <a:off x="3309524" y="517157"/>
          <a:ext cx="607245" cy="186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p=0.380</a:t>
          </a:r>
        </a:p>
      </xdr:txBody>
    </xdr:sp>
    <xdr:clientData/>
  </xdr:twoCellAnchor>
  <xdr:twoCellAnchor>
    <xdr:from>
      <xdr:col>3</xdr:col>
      <xdr:colOff>68168</xdr:colOff>
      <xdr:row>9</xdr:row>
      <xdr:rowOff>110652</xdr:rowOff>
    </xdr:from>
    <xdr:to>
      <xdr:col>3</xdr:col>
      <xdr:colOff>588379</xdr:colOff>
      <xdr:row>10</xdr:row>
      <xdr:rowOff>115050</xdr:rowOff>
    </xdr:to>
    <xdr:sp macro="" textlink="">
      <xdr:nvSpPr>
        <xdr:cNvPr id="585" name="TextBox 584">
          <a:extLst>
            <a:ext uri="{FF2B5EF4-FFF2-40B4-BE49-F238E27FC236}">
              <a16:creationId xmlns:a16="http://schemas.microsoft.com/office/drawing/2014/main" id="{151CEE5B-64BB-4180-ACB4-890A60C94E81}"/>
            </a:ext>
          </a:extLst>
        </xdr:cNvPr>
        <xdr:cNvSpPr txBox="1"/>
      </xdr:nvSpPr>
      <xdr:spPr>
        <a:xfrm>
          <a:off x="2784154" y="663102"/>
          <a:ext cx="520211" cy="1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p=0.389</a:t>
          </a:r>
        </a:p>
      </xdr:txBody>
    </xdr:sp>
    <xdr:clientData/>
  </xdr:twoCellAnchor>
  <xdr:twoCellAnchor>
    <xdr:from>
      <xdr:col>7</xdr:col>
      <xdr:colOff>69086</xdr:colOff>
      <xdr:row>2</xdr:row>
      <xdr:rowOff>22698</xdr:rowOff>
    </xdr:from>
    <xdr:to>
      <xdr:col>7</xdr:col>
      <xdr:colOff>589297</xdr:colOff>
      <xdr:row>3</xdr:row>
      <xdr:rowOff>27096</xdr:rowOff>
    </xdr:to>
    <xdr:sp macro="" textlink="">
      <xdr:nvSpPr>
        <xdr:cNvPr id="592" name="TextBox 591">
          <a:extLst>
            <a:ext uri="{FF2B5EF4-FFF2-40B4-BE49-F238E27FC236}">
              <a16:creationId xmlns:a16="http://schemas.microsoft.com/office/drawing/2014/main" id="{51A14081-7695-4398-A9B0-0DA5095630EA}"/>
            </a:ext>
          </a:extLst>
        </xdr:cNvPr>
        <xdr:cNvSpPr txBox="1"/>
      </xdr:nvSpPr>
      <xdr:spPr>
        <a:xfrm>
          <a:off x="2785072" y="392812"/>
          <a:ext cx="520211" cy="1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p=0.197</a:t>
          </a:r>
        </a:p>
      </xdr:txBody>
    </xdr:sp>
    <xdr:clientData/>
  </xdr:twoCellAnchor>
  <xdr:twoCellAnchor>
    <xdr:from>
      <xdr:col>7</xdr:col>
      <xdr:colOff>587406</xdr:colOff>
      <xdr:row>2</xdr:row>
      <xdr:rowOff>179347</xdr:rowOff>
    </xdr:from>
    <xdr:to>
      <xdr:col>8</xdr:col>
      <xdr:colOff>79037</xdr:colOff>
      <xdr:row>3</xdr:row>
      <xdr:rowOff>177628</xdr:rowOff>
    </xdr:to>
    <xdr:sp macro="" textlink="">
      <xdr:nvSpPr>
        <xdr:cNvPr id="599" name="TextBox 598">
          <a:extLst>
            <a:ext uri="{FF2B5EF4-FFF2-40B4-BE49-F238E27FC236}">
              <a16:creationId xmlns:a16="http://schemas.microsoft.com/office/drawing/2014/main" id="{38B94BD5-22CD-4CEE-A7CC-AC99E7C29967}"/>
            </a:ext>
          </a:extLst>
        </xdr:cNvPr>
        <xdr:cNvSpPr txBox="1"/>
      </xdr:nvSpPr>
      <xdr:spPr>
        <a:xfrm>
          <a:off x="9303794" y="572507"/>
          <a:ext cx="557621" cy="188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p=9.4e-5</a:t>
          </a:r>
        </a:p>
      </xdr:txBody>
    </xdr:sp>
    <xdr:clientData/>
  </xdr:twoCellAnchor>
  <xdr:twoCellAnchor>
    <xdr:from>
      <xdr:col>7</xdr:col>
      <xdr:colOff>68168</xdr:colOff>
      <xdr:row>3</xdr:row>
      <xdr:rowOff>110652</xdr:rowOff>
    </xdr:from>
    <xdr:to>
      <xdr:col>7</xdr:col>
      <xdr:colOff>632670</xdr:colOff>
      <xdr:row>4</xdr:row>
      <xdr:rowOff>83890</xdr:rowOff>
    </xdr:to>
    <xdr:sp macro="" textlink="">
      <xdr:nvSpPr>
        <xdr:cNvPr id="603" name="TextBox 602">
          <a:extLst>
            <a:ext uri="{FF2B5EF4-FFF2-40B4-BE49-F238E27FC236}">
              <a16:creationId xmlns:a16="http://schemas.microsoft.com/office/drawing/2014/main" id="{BB099F40-5CDD-4BCB-8F20-824A96CED40B}"/>
            </a:ext>
          </a:extLst>
        </xdr:cNvPr>
        <xdr:cNvSpPr txBox="1"/>
      </xdr:nvSpPr>
      <xdr:spPr>
        <a:xfrm>
          <a:off x="9491801" y="659432"/>
          <a:ext cx="564502" cy="158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p=0.010</a:t>
          </a:r>
        </a:p>
      </xdr:txBody>
    </xdr:sp>
    <xdr:clientData/>
  </xdr:twoCellAnchor>
  <xdr:twoCellAnchor>
    <xdr:from>
      <xdr:col>7</xdr:col>
      <xdr:colOff>69086</xdr:colOff>
      <xdr:row>5</xdr:row>
      <xdr:rowOff>22698</xdr:rowOff>
    </xdr:from>
    <xdr:to>
      <xdr:col>7</xdr:col>
      <xdr:colOff>589297</xdr:colOff>
      <xdr:row>6</xdr:row>
      <xdr:rowOff>27096</xdr:rowOff>
    </xdr:to>
    <xdr:sp macro="" textlink="">
      <xdr:nvSpPr>
        <xdr:cNvPr id="610" name="TextBox 609">
          <a:extLst>
            <a:ext uri="{FF2B5EF4-FFF2-40B4-BE49-F238E27FC236}">
              <a16:creationId xmlns:a16="http://schemas.microsoft.com/office/drawing/2014/main" id="{2E7005A8-A840-48B5-9544-6416B41905DA}"/>
            </a:ext>
          </a:extLst>
        </xdr:cNvPr>
        <xdr:cNvSpPr txBox="1"/>
      </xdr:nvSpPr>
      <xdr:spPr>
        <a:xfrm>
          <a:off x="2785072" y="392812"/>
          <a:ext cx="520211" cy="1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p=0.089</a:t>
          </a:r>
        </a:p>
      </xdr:txBody>
    </xdr:sp>
    <xdr:clientData/>
  </xdr:twoCellAnchor>
  <xdr:twoCellAnchor>
    <xdr:from>
      <xdr:col>7</xdr:col>
      <xdr:colOff>593538</xdr:colOff>
      <xdr:row>5</xdr:row>
      <xdr:rowOff>147043</xdr:rowOff>
    </xdr:from>
    <xdr:to>
      <xdr:col>8</xdr:col>
      <xdr:colOff>36012</xdr:colOff>
      <xdr:row>6</xdr:row>
      <xdr:rowOff>151442</xdr:rowOff>
    </xdr:to>
    <xdr:sp macro="" textlink="">
      <xdr:nvSpPr>
        <xdr:cNvPr id="617" name="TextBox 616">
          <a:extLst>
            <a:ext uri="{FF2B5EF4-FFF2-40B4-BE49-F238E27FC236}">
              <a16:creationId xmlns:a16="http://schemas.microsoft.com/office/drawing/2014/main" id="{2632FA4A-DB2A-49E1-A958-922DD7F09A24}"/>
            </a:ext>
          </a:extLst>
        </xdr:cNvPr>
        <xdr:cNvSpPr txBox="1"/>
      </xdr:nvSpPr>
      <xdr:spPr>
        <a:xfrm>
          <a:off x="3309524" y="517157"/>
          <a:ext cx="607245" cy="186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p=0.030</a:t>
          </a:r>
        </a:p>
      </xdr:txBody>
    </xdr:sp>
    <xdr:clientData/>
  </xdr:twoCellAnchor>
  <xdr:twoCellAnchor>
    <xdr:from>
      <xdr:col>7</xdr:col>
      <xdr:colOff>68168</xdr:colOff>
      <xdr:row>6</xdr:row>
      <xdr:rowOff>110652</xdr:rowOff>
    </xdr:from>
    <xdr:to>
      <xdr:col>7</xdr:col>
      <xdr:colOff>588379</xdr:colOff>
      <xdr:row>7</xdr:row>
      <xdr:rowOff>115050</xdr:rowOff>
    </xdr:to>
    <xdr:sp macro="" textlink="">
      <xdr:nvSpPr>
        <xdr:cNvPr id="621" name="TextBox 620">
          <a:extLst>
            <a:ext uri="{FF2B5EF4-FFF2-40B4-BE49-F238E27FC236}">
              <a16:creationId xmlns:a16="http://schemas.microsoft.com/office/drawing/2014/main" id="{AC518D3C-F88D-4AB1-BDB9-94BA843A9AA3}"/>
            </a:ext>
          </a:extLst>
        </xdr:cNvPr>
        <xdr:cNvSpPr txBox="1"/>
      </xdr:nvSpPr>
      <xdr:spPr>
        <a:xfrm>
          <a:off x="2784154" y="663102"/>
          <a:ext cx="520211" cy="1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p=0.582</a:t>
          </a:r>
        </a:p>
      </xdr:txBody>
    </xdr:sp>
    <xdr:clientData/>
  </xdr:twoCellAnchor>
  <xdr:twoCellAnchor>
    <xdr:from>
      <xdr:col>7</xdr:col>
      <xdr:colOff>69086</xdr:colOff>
      <xdr:row>8</xdr:row>
      <xdr:rowOff>22698</xdr:rowOff>
    </xdr:from>
    <xdr:to>
      <xdr:col>7</xdr:col>
      <xdr:colOff>589297</xdr:colOff>
      <xdr:row>9</xdr:row>
      <xdr:rowOff>27096</xdr:rowOff>
    </xdr:to>
    <xdr:sp macro="" textlink="">
      <xdr:nvSpPr>
        <xdr:cNvPr id="628" name="TextBox 627">
          <a:extLst>
            <a:ext uri="{FF2B5EF4-FFF2-40B4-BE49-F238E27FC236}">
              <a16:creationId xmlns:a16="http://schemas.microsoft.com/office/drawing/2014/main" id="{AC526AD9-3594-4ABB-9006-471349A7B5E4}"/>
            </a:ext>
          </a:extLst>
        </xdr:cNvPr>
        <xdr:cNvSpPr txBox="1"/>
      </xdr:nvSpPr>
      <xdr:spPr>
        <a:xfrm>
          <a:off x="2785072" y="392812"/>
          <a:ext cx="520211" cy="1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p=0.824</a:t>
          </a:r>
        </a:p>
      </xdr:txBody>
    </xdr:sp>
    <xdr:clientData/>
  </xdr:twoCellAnchor>
  <xdr:twoCellAnchor>
    <xdr:from>
      <xdr:col>7</xdr:col>
      <xdr:colOff>593538</xdr:colOff>
      <xdr:row>8</xdr:row>
      <xdr:rowOff>147043</xdr:rowOff>
    </xdr:from>
    <xdr:to>
      <xdr:col>8</xdr:col>
      <xdr:colOff>36012</xdr:colOff>
      <xdr:row>9</xdr:row>
      <xdr:rowOff>151442</xdr:rowOff>
    </xdr:to>
    <xdr:sp macro="" textlink="">
      <xdr:nvSpPr>
        <xdr:cNvPr id="635" name="TextBox 634">
          <a:extLst>
            <a:ext uri="{FF2B5EF4-FFF2-40B4-BE49-F238E27FC236}">
              <a16:creationId xmlns:a16="http://schemas.microsoft.com/office/drawing/2014/main" id="{6B5B51AB-8D3B-4272-A774-2EC37F47F4A2}"/>
            </a:ext>
          </a:extLst>
        </xdr:cNvPr>
        <xdr:cNvSpPr txBox="1"/>
      </xdr:nvSpPr>
      <xdr:spPr>
        <a:xfrm>
          <a:off x="3309524" y="517157"/>
          <a:ext cx="607245" cy="186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p=0.011</a:t>
          </a:r>
        </a:p>
      </xdr:txBody>
    </xdr:sp>
    <xdr:clientData/>
  </xdr:twoCellAnchor>
  <xdr:twoCellAnchor>
    <xdr:from>
      <xdr:col>7</xdr:col>
      <xdr:colOff>68168</xdr:colOff>
      <xdr:row>9</xdr:row>
      <xdr:rowOff>110652</xdr:rowOff>
    </xdr:from>
    <xdr:to>
      <xdr:col>7</xdr:col>
      <xdr:colOff>588379</xdr:colOff>
      <xdr:row>10</xdr:row>
      <xdr:rowOff>115050</xdr:rowOff>
    </xdr:to>
    <xdr:sp macro="" textlink="">
      <xdr:nvSpPr>
        <xdr:cNvPr id="639" name="TextBox 638">
          <a:extLst>
            <a:ext uri="{FF2B5EF4-FFF2-40B4-BE49-F238E27FC236}">
              <a16:creationId xmlns:a16="http://schemas.microsoft.com/office/drawing/2014/main" id="{74DE2093-EB7F-46B3-BC1A-1B85210D9003}"/>
            </a:ext>
          </a:extLst>
        </xdr:cNvPr>
        <xdr:cNvSpPr txBox="1"/>
      </xdr:nvSpPr>
      <xdr:spPr>
        <a:xfrm>
          <a:off x="2784154" y="663102"/>
          <a:ext cx="520211" cy="18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p=0.025</a:t>
          </a:r>
        </a:p>
      </xdr:txBody>
    </xdr:sp>
    <xdr:clientData/>
  </xdr:twoCellAnchor>
  <xdr:twoCellAnchor>
    <xdr:from>
      <xdr:col>3</xdr:col>
      <xdr:colOff>22777</xdr:colOff>
      <xdr:row>2</xdr:row>
      <xdr:rowOff>47625</xdr:rowOff>
    </xdr:from>
    <xdr:to>
      <xdr:col>3</xdr:col>
      <xdr:colOff>111815</xdr:colOff>
      <xdr:row>3</xdr:row>
      <xdr:rowOff>80756</xdr:rowOff>
    </xdr:to>
    <xdr:sp macro="" textlink="">
      <xdr:nvSpPr>
        <xdr:cNvPr id="640" name="Right Bracket 639">
          <a:extLst>
            <a:ext uri="{FF2B5EF4-FFF2-40B4-BE49-F238E27FC236}">
              <a16:creationId xmlns:a16="http://schemas.microsoft.com/office/drawing/2014/main" id="{4062395B-B4C7-D75B-CAC7-AB6568594CAC}"/>
            </a:ext>
          </a:extLst>
        </xdr:cNvPr>
        <xdr:cNvSpPr/>
      </xdr:nvSpPr>
      <xdr:spPr>
        <a:xfrm>
          <a:off x="2998304" y="416201"/>
          <a:ext cx="89038" cy="215348"/>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24020</xdr:colOff>
      <xdr:row>3</xdr:row>
      <xdr:rowOff>119270</xdr:rowOff>
    </xdr:from>
    <xdr:to>
      <xdr:col>3</xdr:col>
      <xdr:colOff>113058</xdr:colOff>
      <xdr:row>4</xdr:row>
      <xdr:rowOff>148259</xdr:rowOff>
    </xdr:to>
    <xdr:sp macro="" textlink="">
      <xdr:nvSpPr>
        <xdr:cNvPr id="641" name="Right Bracket 640">
          <a:extLst>
            <a:ext uri="{FF2B5EF4-FFF2-40B4-BE49-F238E27FC236}">
              <a16:creationId xmlns:a16="http://schemas.microsoft.com/office/drawing/2014/main" id="{1F66104A-3F90-4295-B339-6DD457BC9B8C}"/>
            </a:ext>
          </a:extLst>
        </xdr:cNvPr>
        <xdr:cNvSpPr/>
      </xdr:nvSpPr>
      <xdr:spPr>
        <a:xfrm>
          <a:off x="2999547" y="670063"/>
          <a:ext cx="89038" cy="215348"/>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22385</xdr:colOff>
      <xdr:row>2</xdr:row>
      <xdr:rowOff>45498</xdr:rowOff>
    </xdr:from>
    <xdr:to>
      <xdr:col>3</xdr:col>
      <xdr:colOff>111423</xdr:colOff>
      <xdr:row>3</xdr:row>
      <xdr:rowOff>78629</xdr:rowOff>
    </xdr:to>
    <xdr:sp macro="" textlink="">
      <xdr:nvSpPr>
        <xdr:cNvPr id="642" name="Right Bracket 641">
          <a:extLst>
            <a:ext uri="{FF2B5EF4-FFF2-40B4-BE49-F238E27FC236}">
              <a16:creationId xmlns:a16="http://schemas.microsoft.com/office/drawing/2014/main" id="{2C482F32-6415-423B-B903-57DF4E61AFF0}"/>
            </a:ext>
          </a:extLst>
        </xdr:cNvPr>
        <xdr:cNvSpPr/>
      </xdr:nvSpPr>
      <xdr:spPr>
        <a:xfrm>
          <a:off x="2998304" y="416201"/>
          <a:ext cx="89038" cy="21676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559216</xdr:colOff>
      <xdr:row>2</xdr:row>
      <xdr:rowOff>62317</xdr:rowOff>
    </xdr:from>
    <xdr:to>
      <xdr:col>3</xdr:col>
      <xdr:colOff>653877</xdr:colOff>
      <xdr:row>4</xdr:row>
      <xdr:rowOff>145879</xdr:rowOff>
    </xdr:to>
    <xdr:sp macro="" textlink="">
      <xdr:nvSpPr>
        <xdr:cNvPr id="643" name="Right Bracket 642">
          <a:extLst>
            <a:ext uri="{FF2B5EF4-FFF2-40B4-BE49-F238E27FC236}">
              <a16:creationId xmlns:a16="http://schemas.microsoft.com/office/drawing/2014/main" id="{81879027-B817-4D48-AC5D-4DED621D5A3E}"/>
            </a:ext>
          </a:extLst>
        </xdr:cNvPr>
        <xdr:cNvSpPr/>
      </xdr:nvSpPr>
      <xdr:spPr>
        <a:xfrm>
          <a:off x="3535135" y="433020"/>
          <a:ext cx="94661" cy="454264"/>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33974</xdr:colOff>
      <xdr:row>6</xdr:row>
      <xdr:rowOff>113778</xdr:rowOff>
    </xdr:from>
    <xdr:to>
      <xdr:col>3</xdr:col>
      <xdr:colOff>123012</xdr:colOff>
      <xdr:row>7</xdr:row>
      <xdr:rowOff>146199</xdr:rowOff>
    </xdr:to>
    <xdr:sp macro="" textlink="">
      <xdr:nvSpPr>
        <xdr:cNvPr id="644" name="Right Bracket 643">
          <a:extLst>
            <a:ext uri="{FF2B5EF4-FFF2-40B4-BE49-F238E27FC236}">
              <a16:creationId xmlns:a16="http://schemas.microsoft.com/office/drawing/2014/main" id="{FBE9B109-6A1A-4C1F-BFD9-5301BC25C851}"/>
            </a:ext>
          </a:extLst>
        </xdr:cNvPr>
        <xdr:cNvSpPr/>
      </xdr:nvSpPr>
      <xdr:spPr>
        <a:xfrm>
          <a:off x="3009893" y="1225886"/>
          <a:ext cx="89038" cy="21605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32339</xdr:colOff>
      <xdr:row>5</xdr:row>
      <xdr:rowOff>40006</xdr:rowOff>
    </xdr:from>
    <xdr:to>
      <xdr:col>3</xdr:col>
      <xdr:colOff>121377</xdr:colOff>
      <xdr:row>6</xdr:row>
      <xdr:rowOff>73137</xdr:rowOff>
    </xdr:to>
    <xdr:sp macro="" textlink="">
      <xdr:nvSpPr>
        <xdr:cNvPr id="645" name="Right Bracket 644">
          <a:extLst>
            <a:ext uri="{FF2B5EF4-FFF2-40B4-BE49-F238E27FC236}">
              <a16:creationId xmlns:a16="http://schemas.microsoft.com/office/drawing/2014/main" id="{21D363E6-0F46-4D7A-BFA7-027F7DBD7785}"/>
            </a:ext>
          </a:extLst>
        </xdr:cNvPr>
        <xdr:cNvSpPr/>
      </xdr:nvSpPr>
      <xdr:spPr>
        <a:xfrm>
          <a:off x="3008258" y="968479"/>
          <a:ext cx="89038" cy="21676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569170</xdr:colOff>
      <xdr:row>5</xdr:row>
      <xdr:rowOff>56825</xdr:rowOff>
    </xdr:from>
    <xdr:to>
      <xdr:col>3</xdr:col>
      <xdr:colOff>663831</xdr:colOff>
      <xdr:row>7</xdr:row>
      <xdr:rowOff>143819</xdr:rowOff>
    </xdr:to>
    <xdr:sp macro="" textlink="">
      <xdr:nvSpPr>
        <xdr:cNvPr id="646" name="Right Bracket 645">
          <a:extLst>
            <a:ext uri="{FF2B5EF4-FFF2-40B4-BE49-F238E27FC236}">
              <a16:creationId xmlns:a16="http://schemas.microsoft.com/office/drawing/2014/main" id="{F74E05A5-2990-4794-BF39-36060700596C}"/>
            </a:ext>
          </a:extLst>
        </xdr:cNvPr>
        <xdr:cNvSpPr/>
      </xdr:nvSpPr>
      <xdr:spPr>
        <a:xfrm>
          <a:off x="3545089" y="985298"/>
          <a:ext cx="94661" cy="454264"/>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35347</xdr:colOff>
      <xdr:row>9</xdr:row>
      <xdr:rowOff>110003</xdr:rowOff>
    </xdr:from>
    <xdr:to>
      <xdr:col>3</xdr:col>
      <xdr:colOff>124385</xdr:colOff>
      <xdr:row>10</xdr:row>
      <xdr:rowOff>142423</xdr:rowOff>
    </xdr:to>
    <xdr:sp macro="" textlink="">
      <xdr:nvSpPr>
        <xdr:cNvPr id="647" name="Right Bracket 646">
          <a:extLst>
            <a:ext uri="{FF2B5EF4-FFF2-40B4-BE49-F238E27FC236}">
              <a16:creationId xmlns:a16="http://schemas.microsoft.com/office/drawing/2014/main" id="{168431F8-F415-4431-BFBA-9FE6DF27CB34}"/>
            </a:ext>
          </a:extLst>
        </xdr:cNvPr>
        <xdr:cNvSpPr/>
      </xdr:nvSpPr>
      <xdr:spPr>
        <a:xfrm>
          <a:off x="3011266" y="1779881"/>
          <a:ext cx="89038" cy="21605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33712</xdr:colOff>
      <xdr:row>8</xdr:row>
      <xdr:rowOff>39663</xdr:rowOff>
    </xdr:from>
    <xdr:to>
      <xdr:col>3</xdr:col>
      <xdr:colOff>122750</xdr:colOff>
      <xdr:row>9</xdr:row>
      <xdr:rowOff>69362</xdr:rowOff>
    </xdr:to>
    <xdr:sp macro="" textlink="">
      <xdr:nvSpPr>
        <xdr:cNvPr id="648" name="Right Bracket 647">
          <a:extLst>
            <a:ext uri="{FF2B5EF4-FFF2-40B4-BE49-F238E27FC236}">
              <a16:creationId xmlns:a16="http://schemas.microsoft.com/office/drawing/2014/main" id="{0F1DD263-2F6A-47DD-B6B8-5742E430A69D}"/>
            </a:ext>
          </a:extLst>
        </xdr:cNvPr>
        <xdr:cNvSpPr/>
      </xdr:nvSpPr>
      <xdr:spPr>
        <a:xfrm>
          <a:off x="3009631" y="1522474"/>
          <a:ext cx="89038" cy="21676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570543</xdr:colOff>
      <xdr:row>8</xdr:row>
      <xdr:rowOff>56482</xdr:rowOff>
    </xdr:from>
    <xdr:to>
      <xdr:col>3</xdr:col>
      <xdr:colOff>665204</xdr:colOff>
      <xdr:row>10</xdr:row>
      <xdr:rowOff>140043</xdr:rowOff>
    </xdr:to>
    <xdr:sp macro="" textlink="">
      <xdr:nvSpPr>
        <xdr:cNvPr id="649" name="Right Bracket 648">
          <a:extLst>
            <a:ext uri="{FF2B5EF4-FFF2-40B4-BE49-F238E27FC236}">
              <a16:creationId xmlns:a16="http://schemas.microsoft.com/office/drawing/2014/main" id="{A4B8C8C1-5ABB-43B4-86F4-EF79E9FC0ABF}"/>
            </a:ext>
          </a:extLst>
        </xdr:cNvPr>
        <xdr:cNvSpPr/>
      </xdr:nvSpPr>
      <xdr:spPr>
        <a:xfrm>
          <a:off x="3546462" y="1539293"/>
          <a:ext cx="94661" cy="454264"/>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22837</xdr:colOff>
      <xdr:row>3</xdr:row>
      <xdr:rowOff>112886</xdr:rowOff>
    </xdr:from>
    <xdr:to>
      <xdr:col>7</xdr:col>
      <xdr:colOff>111875</xdr:colOff>
      <xdr:row>4</xdr:row>
      <xdr:rowOff>141875</xdr:rowOff>
    </xdr:to>
    <xdr:sp macro="" textlink="">
      <xdr:nvSpPr>
        <xdr:cNvPr id="650" name="Right Bracket 649">
          <a:extLst>
            <a:ext uri="{FF2B5EF4-FFF2-40B4-BE49-F238E27FC236}">
              <a16:creationId xmlns:a16="http://schemas.microsoft.com/office/drawing/2014/main" id="{81B5DABC-0778-4C5A-93A5-BD5F64E716A1}"/>
            </a:ext>
          </a:extLst>
        </xdr:cNvPr>
        <xdr:cNvSpPr/>
      </xdr:nvSpPr>
      <xdr:spPr>
        <a:xfrm>
          <a:off x="9442636" y="664483"/>
          <a:ext cx="89038" cy="21664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21202</xdr:colOff>
      <xdr:row>2</xdr:row>
      <xdr:rowOff>39115</xdr:rowOff>
    </xdr:from>
    <xdr:to>
      <xdr:col>7</xdr:col>
      <xdr:colOff>110240</xdr:colOff>
      <xdr:row>3</xdr:row>
      <xdr:rowOff>72245</xdr:rowOff>
    </xdr:to>
    <xdr:sp macro="" textlink="">
      <xdr:nvSpPr>
        <xdr:cNvPr id="651" name="Right Bracket 650">
          <a:extLst>
            <a:ext uri="{FF2B5EF4-FFF2-40B4-BE49-F238E27FC236}">
              <a16:creationId xmlns:a16="http://schemas.microsoft.com/office/drawing/2014/main" id="{95933DEA-98B2-43B8-9AF8-D3F65E1FE230}"/>
            </a:ext>
          </a:extLst>
        </xdr:cNvPr>
        <xdr:cNvSpPr/>
      </xdr:nvSpPr>
      <xdr:spPr>
        <a:xfrm>
          <a:off x="9441001" y="408742"/>
          <a:ext cx="89038" cy="215100"/>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558033</xdr:colOff>
      <xdr:row>2</xdr:row>
      <xdr:rowOff>55934</xdr:rowOff>
    </xdr:from>
    <xdr:to>
      <xdr:col>7</xdr:col>
      <xdr:colOff>652694</xdr:colOff>
      <xdr:row>4</xdr:row>
      <xdr:rowOff>139495</xdr:rowOff>
    </xdr:to>
    <xdr:sp macro="" textlink="">
      <xdr:nvSpPr>
        <xdr:cNvPr id="652" name="Right Bracket 651">
          <a:extLst>
            <a:ext uri="{FF2B5EF4-FFF2-40B4-BE49-F238E27FC236}">
              <a16:creationId xmlns:a16="http://schemas.microsoft.com/office/drawing/2014/main" id="{0F77C0BA-9676-489B-839F-CEF06FC62BCD}"/>
            </a:ext>
          </a:extLst>
        </xdr:cNvPr>
        <xdr:cNvSpPr/>
      </xdr:nvSpPr>
      <xdr:spPr>
        <a:xfrm>
          <a:off x="9977832" y="425561"/>
          <a:ext cx="94661" cy="453188"/>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27386</xdr:colOff>
      <xdr:row>6</xdr:row>
      <xdr:rowOff>106062</xdr:rowOff>
    </xdr:from>
    <xdr:to>
      <xdr:col>7</xdr:col>
      <xdr:colOff>116424</xdr:colOff>
      <xdr:row>7</xdr:row>
      <xdr:rowOff>140738</xdr:rowOff>
    </xdr:to>
    <xdr:sp macro="" textlink="">
      <xdr:nvSpPr>
        <xdr:cNvPr id="653" name="Right Bracket 652">
          <a:extLst>
            <a:ext uri="{FF2B5EF4-FFF2-40B4-BE49-F238E27FC236}">
              <a16:creationId xmlns:a16="http://schemas.microsoft.com/office/drawing/2014/main" id="{B098F643-8C8D-4537-B160-B2C6A4A08AB5}"/>
            </a:ext>
          </a:extLst>
        </xdr:cNvPr>
        <xdr:cNvSpPr/>
      </xdr:nvSpPr>
      <xdr:spPr>
        <a:xfrm>
          <a:off x="9447185" y="1214943"/>
          <a:ext cx="89038" cy="21664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25751</xdr:colOff>
      <xdr:row>5</xdr:row>
      <xdr:rowOff>32292</xdr:rowOff>
    </xdr:from>
    <xdr:to>
      <xdr:col>7</xdr:col>
      <xdr:colOff>114789</xdr:colOff>
      <xdr:row>6</xdr:row>
      <xdr:rowOff>65421</xdr:rowOff>
    </xdr:to>
    <xdr:sp macro="" textlink="">
      <xdr:nvSpPr>
        <xdr:cNvPr id="654" name="Right Bracket 653">
          <a:extLst>
            <a:ext uri="{FF2B5EF4-FFF2-40B4-BE49-F238E27FC236}">
              <a16:creationId xmlns:a16="http://schemas.microsoft.com/office/drawing/2014/main" id="{5E99BB71-4DE4-4EBE-A081-F36B266414E0}"/>
            </a:ext>
          </a:extLst>
        </xdr:cNvPr>
        <xdr:cNvSpPr/>
      </xdr:nvSpPr>
      <xdr:spPr>
        <a:xfrm>
          <a:off x="9445550" y="959202"/>
          <a:ext cx="89038" cy="215100"/>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562582</xdr:colOff>
      <xdr:row>5</xdr:row>
      <xdr:rowOff>49111</xdr:rowOff>
    </xdr:from>
    <xdr:to>
      <xdr:col>7</xdr:col>
      <xdr:colOff>657243</xdr:colOff>
      <xdr:row>7</xdr:row>
      <xdr:rowOff>138358</xdr:rowOff>
    </xdr:to>
    <xdr:sp macro="" textlink="">
      <xdr:nvSpPr>
        <xdr:cNvPr id="655" name="Right Bracket 654">
          <a:extLst>
            <a:ext uri="{FF2B5EF4-FFF2-40B4-BE49-F238E27FC236}">
              <a16:creationId xmlns:a16="http://schemas.microsoft.com/office/drawing/2014/main" id="{B97DA263-1DB6-4FC4-9B6C-88293E344229}"/>
            </a:ext>
          </a:extLst>
        </xdr:cNvPr>
        <xdr:cNvSpPr/>
      </xdr:nvSpPr>
      <xdr:spPr>
        <a:xfrm>
          <a:off x="9982381" y="976021"/>
          <a:ext cx="94661" cy="453188"/>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29092</xdr:colOff>
      <xdr:row>9</xdr:row>
      <xdr:rowOff>99238</xdr:rowOff>
    </xdr:from>
    <xdr:to>
      <xdr:col>7</xdr:col>
      <xdr:colOff>118130</xdr:colOff>
      <xdr:row>10</xdr:row>
      <xdr:rowOff>133914</xdr:rowOff>
    </xdr:to>
    <xdr:sp macro="" textlink="">
      <xdr:nvSpPr>
        <xdr:cNvPr id="656" name="Right Bracket 655">
          <a:extLst>
            <a:ext uri="{FF2B5EF4-FFF2-40B4-BE49-F238E27FC236}">
              <a16:creationId xmlns:a16="http://schemas.microsoft.com/office/drawing/2014/main" id="{60E10D6C-1C3F-4669-9C25-C9C055398BA4}"/>
            </a:ext>
          </a:extLst>
        </xdr:cNvPr>
        <xdr:cNvSpPr/>
      </xdr:nvSpPr>
      <xdr:spPr>
        <a:xfrm>
          <a:off x="9448891" y="1765402"/>
          <a:ext cx="89038" cy="21664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27457</xdr:colOff>
      <xdr:row>8</xdr:row>
      <xdr:rowOff>31154</xdr:rowOff>
    </xdr:from>
    <xdr:to>
      <xdr:col>7</xdr:col>
      <xdr:colOff>116495</xdr:colOff>
      <xdr:row>9</xdr:row>
      <xdr:rowOff>58597</xdr:rowOff>
    </xdr:to>
    <xdr:sp macro="" textlink="">
      <xdr:nvSpPr>
        <xdr:cNvPr id="657" name="Right Bracket 656">
          <a:extLst>
            <a:ext uri="{FF2B5EF4-FFF2-40B4-BE49-F238E27FC236}">
              <a16:creationId xmlns:a16="http://schemas.microsoft.com/office/drawing/2014/main" id="{840288B7-0DCE-4E64-BC4F-11B2ADD94797}"/>
            </a:ext>
          </a:extLst>
        </xdr:cNvPr>
        <xdr:cNvSpPr/>
      </xdr:nvSpPr>
      <xdr:spPr>
        <a:xfrm>
          <a:off x="9447256" y="1509661"/>
          <a:ext cx="89038" cy="215100"/>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564288</xdr:colOff>
      <xdr:row>8</xdr:row>
      <xdr:rowOff>47973</xdr:rowOff>
    </xdr:from>
    <xdr:to>
      <xdr:col>7</xdr:col>
      <xdr:colOff>658949</xdr:colOff>
      <xdr:row>10</xdr:row>
      <xdr:rowOff>131534</xdr:rowOff>
    </xdr:to>
    <xdr:sp macro="" textlink="">
      <xdr:nvSpPr>
        <xdr:cNvPr id="658" name="Right Bracket 657">
          <a:extLst>
            <a:ext uri="{FF2B5EF4-FFF2-40B4-BE49-F238E27FC236}">
              <a16:creationId xmlns:a16="http://schemas.microsoft.com/office/drawing/2014/main" id="{DC250ACC-D01D-45A4-AC69-C08E4B195631}"/>
            </a:ext>
          </a:extLst>
        </xdr:cNvPr>
        <xdr:cNvSpPr/>
      </xdr:nvSpPr>
      <xdr:spPr>
        <a:xfrm>
          <a:off x="9984087" y="1526480"/>
          <a:ext cx="94661" cy="453188"/>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1663B-0BB3-4CE3-96A8-1FCDA26FCD78}">
  <dimension ref="A1:C15"/>
  <sheetViews>
    <sheetView zoomScale="84" workbookViewId="0">
      <selection activeCell="A8" sqref="A8"/>
    </sheetView>
  </sheetViews>
  <sheetFormatPr defaultRowHeight="14.4" x14ac:dyDescent="0.55000000000000004"/>
  <cols>
    <col min="1" max="1" width="38.83984375" style="5" bestFit="1" customWidth="1"/>
    <col min="2" max="2" width="33.9453125" style="5" bestFit="1" customWidth="1"/>
    <col min="3" max="3" width="139.15625" customWidth="1"/>
  </cols>
  <sheetData>
    <row r="1" spans="1:3" x14ac:dyDescent="0.55000000000000004">
      <c r="A1" s="6" t="s">
        <v>0</v>
      </c>
      <c r="B1" s="6" t="s">
        <v>1</v>
      </c>
      <c r="C1" s="6" t="s">
        <v>2</v>
      </c>
    </row>
    <row r="2" spans="1:3" x14ac:dyDescent="0.55000000000000004">
      <c r="A2" s="5" t="s">
        <v>1595</v>
      </c>
      <c r="B2" s="5" t="s">
        <v>1601</v>
      </c>
      <c r="C2" s="5" t="s">
        <v>1570</v>
      </c>
    </row>
    <row r="3" spans="1:3" x14ac:dyDescent="0.55000000000000004">
      <c r="A3" s="5" t="s">
        <v>1596</v>
      </c>
      <c r="B3" s="5" t="s">
        <v>1602</v>
      </c>
      <c r="C3" s="5" t="s">
        <v>1593</v>
      </c>
    </row>
    <row r="4" spans="1:3" x14ac:dyDescent="0.55000000000000004">
      <c r="A4" s="5" t="s">
        <v>1597</v>
      </c>
      <c r="B4" s="5" t="s">
        <v>1603</v>
      </c>
      <c r="C4" s="5" t="s">
        <v>1594</v>
      </c>
    </row>
    <row r="5" spans="1:3" x14ac:dyDescent="0.55000000000000004">
      <c r="A5" s="5" t="s">
        <v>1598</v>
      </c>
      <c r="B5" s="5" t="s">
        <v>1604</v>
      </c>
      <c r="C5" s="5" t="s">
        <v>3</v>
      </c>
    </row>
    <row r="6" spans="1:3" x14ac:dyDescent="0.55000000000000004">
      <c r="A6" s="5" t="s">
        <v>1612</v>
      </c>
      <c r="B6" s="5" t="s">
        <v>1605</v>
      </c>
      <c r="C6" s="5" t="s">
        <v>4</v>
      </c>
    </row>
    <row r="7" spans="1:3" x14ac:dyDescent="0.55000000000000004">
      <c r="A7" s="5" t="s">
        <v>1599</v>
      </c>
      <c r="B7" s="5" t="s">
        <v>1606</v>
      </c>
      <c r="C7" s="5" t="s">
        <v>5</v>
      </c>
    </row>
    <row r="8" spans="1:3" x14ac:dyDescent="0.55000000000000004">
      <c r="A8" s="5" t="s">
        <v>1600</v>
      </c>
      <c r="B8" s="5" t="s">
        <v>1607</v>
      </c>
      <c r="C8" s="5" t="s">
        <v>6</v>
      </c>
    </row>
    <row r="9" spans="1:3" x14ac:dyDescent="0.55000000000000004">
      <c r="A9" s="5" t="s">
        <v>1613</v>
      </c>
      <c r="B9" s="5" t="s">
        <v>1608</v>
      </c>
      <c r="C9" s="5" t="s">
        <v>7</v>
      </c>
    </row>
    <row r="10" spans="1:3" x14ac:dyDescent="0.55000000000000004">
      <c r="A10" s="5" t="s">
        <v>1614</v>
      </c>
      <c r="B10" s="5" t="s">
        <v>1609</v>
      </c>
      <c r="C10" s="5" t="s">
        <v>8</v>
      </c>
    </row>
    <row r="11" spans="1:3" x14ac:dyDescent="0.55000000000000004">
      <c r="C11" s="5"/>
    </row>
    <row r="12" spans="1:3" x14ac:dyDescent="0.55000000000000004">
      <c r="C12" s="5"/>
    </row>
    <row r="13" spans="1:3" x14ac:dyDescent="0.55000000000000004">
      <c r="C13" s="5"/>
    </row>
    <row r="14" spans="1:3" x14ac:dyDescent="0.55000000000000004">
      <c r="C14" s="5"/>
    </row>
    <row r="15" spans="1:3" x14ac:dyDescent="0.55000000000000004">
      <c r="C15" s="5"/>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758D-49FC-4654-9DE7-AA3BE1F6BCB3}">
  <dimension ref="A1:S41"/>
  <sheetViews>
    <sheetView zoomScale="51" zoomScaleNormal="55" workbookViewId="0">
      <selection activeCell="R28" sqref="R28"/>
    </sheetView>
  </sheetViews>
  <sheetFormatPr defaultRowHeight="14.4" x14ac:dyDescent="0.55000000000000004"/>
  <cols>
    <col min="1" max="1" width="57.15625" style="1" bestFit="1" customWidth="1"/>
    <col min="2" max="2" width="13.15625" style="1" bestFit="1" customWidth="1"/>
    <col min="3" max="3" width="14.15625" style="1" bestFit="1" customWidth="1"/>
    <col min="4" max="4" width="17.41796875" style="1" bestFit="1" customWidth="1"/>
    <col min="5" max="5" width="8.83984375" style="1"/>
    <col min="6" max="6" width="13.15625" bestFit="1" customWidth="1"/>
    <col min="7" max="7" width="14.15625" bestFit="1" customWidth="1"/>
    <col min="8" max="8" width="17.41796875" bestFit="1" customWidth="1"/>
    <col min="10" max="10" width="13.15625" bestFit="1" customWidth="1"/>
    <col min="11" max="11" width="14.15625" bestFit="1" customWidth="1"/>
    <col min="12" max="12" width="16.41796875" bestFit="1" customWidth="1"/>
    <col min="14" max="14" width="13.15625" bestFit="1" customWidth="1"/>
    <col min="15" max="15" width="14.15625" bestFit="1" customWidth="1"/>
    <col min="16" max="16" width="17.41796875" bestFit="1" customWidth="1"/>
  </cols>
  <sheetData>
    <row r="1" spans="1:19" x14ac:dyDescent="0.55000000000000004">
      <c r="A1" s="97" t="s">
        <v>9</v>
      </c>
      <c r="B1" s="98" t="s">
        <v>126</v>
      </c>
      <c r="C1" s="98"/>
      <c r="D1" s="98"/>
      <c r="E1" s="98"/>
      <c r="F1" s="98" t="s">
        <v>127</v>
      </c>
      <c r="G1" s="98"/>
      <c r="H1" s="98"/>
      <c r="I1" s="98"/>
      <c r="J1" s="98" t="s">
        <v>128</v>
      </c>
      <c r="K1" s="98"/>
      <c r="L1" s="98"/>
      <c r="M1" s="98"/>
      <c r="N1" s="98" t="s">
        <v>129</v>
      </c>
      <c r="O1" s="98"/>
      <c r="P1" s="98"/>
      <c r="Q1" s="98"/>
    </row>
    <row r="2" spans="1:19" x14ac:dyDescent="0.55000000000000004">
      <c r="A2" s="97"/>
      <c r="B2" s="88" t="s">
        <v>10</v>
      </c>
      <c r="C2" s="88" t="s">
        <v>11</v>
      </c>
      <c r="D2" s="88" t="s">
        <v>12</v>
      </c>
      <c r="E2" s="88" t="s">
        <v>13</v>
      </c>
      <c r="F2" s="88" t="s">
        <v>50</v>
      </c>
      <c r="G2" s="88" t="s">
        <v>51</v>
      </c>
      <c r="H2" s="88" t="s">
        <v>52</v>
      </c>
      <c r="I2" s="88" t="s">
        <v>13</v>
      </c>
      <c r="J2" s="88" t="s">
        <v>80</v>
      </c>
      <c r="K2" s="88" t="s">
        <v>81</v>
      </c>
      <c r="L2" s="88" t="s">
        <v>82</v>
      </c>
      <c r="M2" s="88" t="s">
        <v>13</v>
      </c>
      <c r="N2" s="88" t="s">
        <v>103</v>
      </c>
      <c r="O2" s="88" t="s">
        <v>104</v>
      </c>
      <c r="P2" s="88" t="s">
        <v>105</v>
      </c>
      <c r="Q2" s="88" t="s">
        <v>13</v>
      </c>
      <c r="S2" s="4" t="s">
        <v>1576</v>
      </c>
    </row>
    <row r="3" spans="1:19" x14ac:dyDescent="0.55000000000000004">
      <c r="A3" s="88" t="s">
        <v>14</v>
      </c>
      <c r="B3" s="89" t="s">
        <v>15</v>
      </c>
      <c r="C3" s="89" t="s">
        <v>16</v>
      </c>
      <c r="D3" s="89" t="s">
        <v>17</v>
      </c>
      <c r="E3" s="90" t="s">
        <v>18</v>
      </c>
      <c r="F3" s="92" t="s">
        <v>53</v>
      </c>
      <c r="G3" s="92" t="s">
        <v>54</v>
      </c>
      <c r="H3" s="92" t="s">
        <v>55</v>
      </c>
      <c r="I3" s="90" t="s">
        <v>18</v>
      </c>
      <c r="J3" s="92" t="s">
        <v>83</v>
      </c>
      <c r="K3" s="92" t="s">
        <v>84</v>
      </c>
      <c r="L3" s="92" t="s">
        <v>85</v>
      </c>
      <c r="M3" s="90" t="s">
        <v>18</v>
      </c>
      <c r="N3" s="92" t="s">
        <v>106</v>
      </c>
      <c r="O3" s="92" t="s">
        <v>107</v>
      </c>
      <c r="P3" s="92" t="s">
        <v>108</v>
      </c>
      <c r="Q3" s="90" t="s">
        <v>18</v>
      </c>
    </row>
    <row r="4" spans="1:19" x14ac:dyDescent="0.55000000000000004">
      <c r="A4" s="88" t="s">
        <v>19</v>
      </c>
      <c r="B4" s="89" t="s">
        <v>20</v>
      </c>
      <c r="C4" s="89" t="s">
        <v>21</v>
      </c>
      <c r="D4" s="89" t="s">
        <v>22</v>
      </c>
      <c r="E4" s="90" t="s">
        <v>18</v>
      </c>
      <c r="F4" s="92" t="s">
        <v>56</v>
      </c>
      <c r="G4" s="92" t="s">
        <v>57</v>
      </c>
      <c r="H4" s="92" t="s">
        <v>58</v>
      </c>
      <c r="I4" s="90" t="s">
        <v>18</v>
      </c>
      <c r="J4" s="92" t="s">
        <v>56</v>
      </c>
      <c r="K4" s="92" t="s">
        <v>86</v>
      </c>
      <c r="L4" s="92" t="s">
        <v>58</v>
      </c>
      <c r="M4" s="90" t="s">
        <v>18</v>
      </c>
      <c r="N4" s="92" t="s">
        <v>56</v>
      </c>
      <c r="O4" s="92" t="s">
        <v>57</v>
      </c>
      <c r="P4" s="92" t="s">
        <v>58</v>
      </c>
      <c r="Q4" s="90" t="s">
        <v>18</v>
      </c>
    </row>
    <row r="5" spans="1:19" ht="16.2" x14ac:dyDescent="0.55000000000000004">
      <c r="A5" s="88" t="s">
        <v>1571</v>
      </c>
      <c r="B5" s="89" t="s">
        <v>23</v>
      </c>
      <c r="C5" s="89" t="s">
        <v>24</v>
      </c>
      <c r="D5" s="89" t="s">
        <v>25</v>
      </c>
      <c r="E5" s="90" t="s">
        <v>18</v>
      </c>
      <c r="F5" s="92" t="s">
        <v>59</v>
      </c>
      <c r="G5" s="92" t="s">
        <v>60</v>
      </c>
      <c r="H5" s="92" t="s">
        <v>61</v>
      </c>
      <c r="I5" s="90" t="s">
        <v>18</v>
      </c>
      <c r="J5" s="92" t="s">
        <v>87</v>
      </c>
      <c r="K5" s="92" t="s">
        <v>88</v>
      </c>
      <c r="L5" s="92" t="s">
        <v>89</v>
      </c>
      <c r="M5" s="90" t="s">
        <v>18</v>
      </c>
      <c r="N5" s="92" t="s">
        <v>109</v>
      </c>
      <c r="O5" s="92" t="s">
        <v>110</v>
      </c>
      <c r="P5" s="92" t="s">
        <v>111</v>
      </c>
      <c r="Q5" s="90" t="s">
        <v>18</v>
      </c>
    </row>
    <row r="6" spans="1:19" x14ac:dyDescent="0.55000000000000004">
      <c r="A6" s="88" t="s">
        <v>26</v>
      </c>
      <c r="B6" s="89" t="s">
        <v>27</v>
      </c>
      <c r="C6" s="89" t="s">
        <v>28</v>
      </c>
      <c r="D6" s="89" t="s">
        <v>29</v>
      </c>
      <c r="E6" s="90" t="s">
        <v>18</v>
      </c>
      <c r="F6" s="92" t="s">
        <v>62</v>
      </c>
      <c r="G6" s="92" t="s">
        <v>63</v>
      </c>
      <c r="H6" s="92" t="s">
        <v>64</v>
      </c>
      <c r="I6" s="90" t="s">
        <v>18</v>
      </c>
      <c r="J6" s="92" t="s">
        <v>62</v>
      </c>
      <c r="K6" s="92" t="s">
        <v>63</v>
      </c>
      <c r="L6" s="92" t="s">
        <v>64</v>
      </c>
      <c r="M6" s="90" t="s">
        <v>18</v>
      </c>
      <c r="N6" s="92" t="s">
        <v>62</v>
      </c>
      <c r="O6" s="92" t="s">
        <v>63</v>
      </c>
      <c r="P6" s="92" t="s">
        <v>64</v>
      </c>
      <c r="Q6" s="90" t="s">
        <v>18</v>
      </c>
    </row>
    <row r="7" spans="1:19" ht="16.2" x14ac:dyDescent="0.55000000000000004">
      <c r="A7" s="88" t="s">
        <v>1572</v>
      </c>
      <c r="B7" s="89" t="s">
        <v>30</v>
      </c>
      <c r="C7" s="89" t="s">
        <v>31</v>
      </c>
      <c r="D7" s="89" t="s">
        <v>32</v>
      </c>
      <c r="E7" s="90" t="s">
        <v>18</v>
      </c>
      <c r="F7" s="92" t="s">
        <v>65</v>
      </c>
      <c r="G7" s="92" t="s">
        <v>66</v>
      </c>
      <c r="H7" s="92" t="s">
        <v>67</v>
      </c>
      <c r="I7" s="90" t="s">
        <v>18</v>
      </c>
      <c r="J7" s="92" t="s">
        <v>90</v>
      </c>
      <c r="K7" s="92" t="s">
        <v>91</v>
      </c>
      <c r="L7" s="92" t="s">
        <v>92</v>
      </c>
      <c r="M7" s="90" t="s">
        <v>18</v>
      </c>
      <c r="N7" s="92" t="s">
        <v>112</v>
      </c>
      <c r="O7" s="92" t="s">
        <v>113</v>
      </c>
      <c r="P7" s="92" t="s">
        <v>92</v>
      </c>
      <c r="Q7" s="90" t="s">
        <v>18</v>
      </c>
    </row>
    <row r="8" spans="1:19" ht="16.2" x14ac:dyDescent="0.55000000000000004">
      <c r="A8" s="88" t="s">
        <v>1573</v>
      </c>
      <c r="B8" s="89" t="s">
        <v>33</v>
      </c>
      <c r="C8" s="89" t="s">
        <v>34</v>
      </c>
      <c r="D8" s="89" t="s">
        <v>35</v>
      </c>
      <c r="E8" s="90" t="s">
        <v>18</v>
      </c>
      <c r="F8" s="92" t="s">
        <v>68</v>
      </c>
      <c r="G8" s="92" t="s">
        <v>69</v>
      </c>
      <c r="H8" s="92" t="s">
        <v>70</v>
      </c>
      <c r="I8" s="90" t="s">
        <v>18</v>
      </c>
      <c r="J8" s="92" t="s">
        <v>93</v>
      </c>
      <c r="K8" s="92" t="s">
        <v>94</v>
      </c>
      <c r="L8" s="92" t="s">
        <v>95</v>
      </c>
      <c r="M8" s="90" t="s">
        <v>18</v>
      </c>
      <c r="N8" s="92" t="s">
        <v>114</v>
      </c>
      <c r="O8" s="92" t="s">
        <v>115</v>
      </c>
      <c r="P8" s="92" t="s">
        <v>116</v>
      </c>
      <c r="Q8" s="90" t="s">
        <v>18</v>
      </c>
    </row>
    <row r="9" spans="1:19" x14ac:dyDescent="0.55000000000000004">
      <c r="A9" s="88" t="s">
        <v>36</v>
      </c>
      <c r="B9" s="89" t="s">
        <v>37</v>
      </c>
      <c r="C9" s="89" t="s">
        <v>38</v>
      </c>
      <c r="D9" s="89" t="s">
        <v>39</v>
      </c>
      <c r="E9" s="90" t="s">
        <v>18</v>
      </c>
      <c r="F9" s="92" t="s">
        <v>71</v>
      </c>
      <c r="G9" s="92" t="s">
        <v>72</v>
      </c>
      <c r="H9" s="92" t="s">
        <v>73</v>
      </c>
      <c r="I9" s="90" t="s">
        <v>18</v>
      </c>
      <c r="J9" s="92" t="s">
        <v>96</v>
      </c>
      <c r="K9" s="92" t="s">
        <v>97</v>
      </c>
      <c r="L9" s="92" t="s">
        <v>98</v>
      </c>
      <c r="M9" s="90" t="s">
        <v>18</v>
      </c>
      <c r="N9" s="92" t="s">
        <v>117</v>
      </c>
      <c r="O9" s="92" t="s">
        <v>118</v>
      </c>
      <c r="P9" s="92" t="s">
        <v>119</v>
      </c>
      <c r="Q9" s="90" t="s">
        <v>18</v>
      </c>
    </row>
    <row r="10" spans="1:19" ht="16.2" x14ac:dyDescent="0.55000000000000004">
      <c r="A10" s="88" t="s">
        <v>1574</v>
      </c>
      <c r="B10" s="89" t="s">
        <v>40</v>
      </c>
      <c r="C10" s="89" t="s">
        <v>41</v>
      </c>
      <c r="D10" s="89" t="s">
        <v>42</v>
      </c>
      <c r="E10" s="90" t="s">
        <v>18</v>
      </c>
      <c r="F10" s="92" t="s">
        <v>74</v>
      </c>
      <c r="G10" s="92" t="s">
        <v>75</v>
      </c>
      <c r="H10" s="92" t="s">
        <v>76</v>
      </c>
      <c r="I10" s="90" t="s">
        <v>18</v>
      </c>
      <c r="J10" s="92" t="s">
        <v>99</v>
      </c>
      <c r="K10" s="92" t="s">
        <v>100</v>
      </c>
      <c r="L10" s="92" t="s">
        <v>76</v>
      </c>
      <c r="M10" s="90" t="s">
        <v>18</v>
      </c>
      <c r="N10" s="92" t="s">
        <v>99</v>
      </c>
      <c r="O10" s="92" t="s">
        <v>120</v>
      </c>
      <c r="P10" s="92" t="s">
        <v>76</v>
      </c>
      <c r="Q10" s="90" t="s">
        <v>18</v>
      </c>
    </row>
    <row r="11" spans="1:19" ht="16.2" x14ac:dyDescent="0.55000000000000004">
      <c r="A11" s="88" t="s">
        <v>1575</v>
      </c>
      <c r="B11" s="89" t="s">
        <v>44</v>
      </c>
      <c r="C11" s="89" t="s">
        <v>45</v>
      </c>
      <c r="D11" s="89" t="s">
        <v>46</v>
      </c>
      <c r="E11" s="90" t="s">
        <v>18</v>
      </c>
      <c r="F11" s="92" t="s">
        <v>77</v>
      </c>
      <c r="G11" s="92" t="s">
        <v>78</v>
      </c>
      <c r="H11" s="92" t="s">
        <v>79</v>
      </c>
      <c r="I11" s="90" t="s">
        <v>18</v>
      </c>
      <c r="J11" s="92" t="s">
        <v>101</v>
      </c>
      <c r="K11" s="92" t="s">
        <v>77</v>
      </c>
      <c r="L11" s="92" t="s">
        <v>102</v>
      </c>
      <c r="M11" s="90" t="s">
        <v>18</v>
      </c>
      <c r="N11" s="92" t="s">
        <v>121</v>
      </c>
      <c r="O11" s="92" t="s">
        <v>122</v>
      </c>
      <c r="P11" s="92" t="s">
        <v>123</v>
      </c>
      <c r="Q11" s="90" t="s">
        <v>18</v>
      </c>
    </row>
    <row r="12" spans="1:19" x14ac:dyDescent="0.55000000000000004">
      <c r="A12" s="88" t="s">
        <v>47</v>
      </c>
      <c r="B12" s="91">
        <v>2598</v>
      </c>
      <c r="C12" s="91">
        <v>1703</v>
      </c>
      <c r="D12" s="89">
        <v>895</v>
      </c>
      <c r="E12" s="90" t="s">
        <v>18</v>
      </c>
      <c r="F12" s="91">
        <v>2455</v>
      </c>
      <c r="G12" s="91">
        <v>1584</v>
      </c>
      <c r="H12" s="89">
        <v>871</v>
      </c>
      <c r="I12" s="90" t="s">
        <v>18</v>
      </c>
      <c r="J12" s="91">
        <v>2342</v>
      </c>
      <c r="K12" s="91">
        <v>1471</v>
      </c>
      <c r="L12" s="89">
        <v>871</v>
      </c>
      <c r="M12" s="90" t="s">
        <v>18</v>
      </c>
      <c r="N12" s="89">
        <v>2307</v>
      </c>
      <c r="O12" s="89">
        <v>1461</v>
      </c>
      <c r="P12" s="89">
        <v>846</v>
      </c>
      <c r="Q12" s="90" t="s">
        <v>18</v>
      </c>
    </row>
    <row r="13" spans="1:19" x14ac:dyDescent="0.55000000000000004">
      <c r="A13" s="88" t="s">
        <v>48</v>
      </c>
      <c r="B13" s="91">
        <v>1780</v>
      </c>
      <c r="C13" s="91">
        <v>1146</v>
      </c>
      <c r="D13" s="89">
        <v>634</v>
      </c>
      <c r="E13" s="90" t="s">
        <v>18</v>
      </c>
      <c r="F13" s="91">
        <v>1686</v>
      </c>
      <c r="G13" s="91">
        <v>1070</v>
      </c>
      <c r="H13" s="89">
        <v>616</v>
      </c>
      <c r="I13" s="90" t="s">
        <v>18</v>
      </c>
      <c r="J13" s="91">
        <v>1605</v>
      </c>
      <c r="K13" s="89">
        <v>985</v>
      </c>
      <c r="L13" s="89">
        <v>620</v>
      </c>
      <c r="M13" s="90" t="s">
        <v>18</v>
      </c>
      <c r="N13" s="89">
        <v>1569</v>
      </c>
      <c r="O13" s="89">
        <v>971</v>
      </c>
      <c r="P13" s="89">
        <v>598</v>
      </c>
      <c r="Q13" s="90" t="s">
        <v>18</v>
      </c>
    </row>
    <row r="14" spans="1:19" x14ac:dyDescent="0.55000000000000004">
      <c r="A14" s="88" t="s">
        <v>49</v>
      </c>
      <c r="B14" s="89">
        <v>543</v>
      </c>
      <c r="C14" s="89">
        <v>352</v>
      </c>
      <c r="D14" s="89">
        <v>191</v>
      </c>
      <c r="E14" s="90" t="s">
        <v>18</v>
      </c>
      <c r="F14" s="89">
        <v>512</v>
      </c>
      <c r="G14" s="89">
        <v>330</v>
      </c>
      <c r="H14" s="89">
        <v>182</v>
      </c>
      <c r="I14" s="90" t="s">
        <v>18</v>
      </c>
      <c r="J14" s="89">
        <v>500</v>
      </c>
      <c r="K14" s="89">
        <v>315</v>
      </c>
      <c r="L14" s="89">
        <v>185</v>
      </c>
      <c r="M14" s="90" t="s">
        <v>18</v>
      </c>
      <c r="N14" s="89">
        <v>484</v>
      </c>
      <c r="O14" s="89">
        <v>304</v>
      </c>
      <c r="P14" s="89">
        <v>180</v>
      </c>
      <c r="Q14" s="90" t="s">
        <v>18</v>
      </c>
    </row>
    <row r="30" spans="1:5" x14ac:dyDescent="0.55000000000000004">
      <c r="A30" s="7"/>
      <c r="B30" s="7"/>
      <c r="C30" s="7"/>
      <c r="D30" s="7"/>
      <c r="E30" s="7"/>
    </row>
    <row r="31" spans="1:5" x14ac:dyDescent="0.55000000000000004">
      <c r="A31" s="8"/>
      <c r="B31"/>
      <c r="C31"/>
      <c r="D31"/>
      <c r="E31" s="64"/>
    </row>
    <row r="32" spans="1:5" x14ac:dyDescent="0.55000000000000004">
      <c r="A32" s="8"/>
      <c r="B32"/>
      <c r="C32"/>
      <c r="D32"/>
      <c r="E32" s="64"/>
    </row>
    <row r="33" spans="1:5" x14ac:dyDescent="0.55000000000000004">
      <c r="A33" s="8"/>
      <c r="B33"/>
      <c r="C33"/>
      <c r="D33"/>
      <c r="E33" s="64"/>
    </row>
    <row r="34" spans="1:5" x14ac:dyDescent="0.55000000000000004">
      <c r="A34" s="8"/>
      <c r="B34"/>
      <c r="C34"/>
      <c r="D34"/>
      <c r="E34" s="64"/>
    </row>
    <row r="35" spans="1:5" x14ac:dyDescent="0.55000000000000004">
      <c r="A35" s="8"/>
      <c r="B35"/>
      <c r="C35"/>
      <c r="D35"/>
      <c r="E35" s="64"/>
    </row>
    <row r="36" spans="1:5" x14ac:dyDescent="0.55000000000000004">
      <c r="A36" s="8"/>
      <c r="B36"/>
      <c r="C36"/>
      <c r="D36"/>
      <c r="E36" s="64"/>
    </row>
    <row r="37" spans="1:5" x14ac:dyDescent="0.55000000000000004">
      <c r="A37" s="8"/>
      <c r="B37"/>
      <c r="C37"/>
      <c r="D37"/>
      <c r="E37" s="64"/>
    </row>
    <row r="38" spans="1:5" x14ac:dyDescent="0.55000000000000004">
      <c r="A38" s="8"/>
      <c r="B38"/>
      <c r="C38"/>
      <c r="D38"/>
      <c r="E38" s="64"/>
    </row>
    <row r="39" spans="1:5" x14ac:dyDescent="0.55000000000000004">
      <c r="A39" s="8"/>
      <c r="B39"/>
      <c r="C39"/>
      <c r="D39"/>
      <c r="E39" s="64"/>
    </row>
    <row r="40" spans="1:5" x14ac:dyDescent="0.55000000000000004">
      <c r="A40" s="8"/>
      <c r="B40" s="8"/>
      <c r="C40" s="8"/>
      <c r="D40" s="8"/>
      <c r="E40" s="64"/>
    </row>
    <row r="41" spans="1:5" x14ac:dyDescent="0.55000000000000004">
      <c r="A41" s="8"/>
      <c r="B41" s="8"/>
      <c r="C41" s="8"/>
      <c r="D41" s="8"/>
      <c r="E41" s="64"/>
    </row>
  </sheetData>
  <mergeCells count="5">
    <mergeCell ref="A1:A2"/>
    <mergeCell ref="B1:E1"/>
    <mergeCell ref="F1:I1"/>
    <mergeCell ref="J1:M1"/>
    <mergeCell ref="N1:Q1"/>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86C0E-8139-48C1-AD88-9D8CF3DA4011}">
  <dimension ref="A1:AF36"/>
  <sheetViews>
    <sheetView zoomScale="66" workbookViewId="0">
      <selection activeCell="Q37" sqref="Q37"/>
    </sheetView>
  </sheetViews>
  <sheetFormatPr defaultRowHeight="14.4" x14ac:dyDescent="0.55000000000000004"/>
  <cols>
    <col min="1" max="1" width="8.83984375" customWidth="1"/>
    <col min="2" max="2" width="22.26171875" customWidth="1"/>
    <col min="3" max="3" width="18.26171875" customWidth="1"/>
    <col min="4" max="4" width="6.26171875" customWidth="1"/>
    <col min="5" max="5" width="8" customWidth="1"/>
    <col min="6" max="6" width="18.68359375" customWidth="1"/>
    <col min="8" max="8" width="9" customWidth="1"/>
    <col min="9" max="9" width="18.578125" customWidth="1"/>
    <col min="10" max="10" width="6.41796875" customWidth="1"/>
    <col min="11" max="11" width="7.41796875" customWidth="1"/>
    <col min="12" max="12" width="19" customWidth="1"/>
    <col min="13" max="13" width="6.578125" customWidth="1"/>
    <col min="17" max="17" width="8.83984375" customWidth="1"/>
    <col min="21" max="21" width="20.83984375" customWidth="1"/>
  </cols>
  <sheetData>
    <row r="1" spans="1:32" x14ac:dyDescent="0.55000000000000004">
      <c r="A1" s="103" t="s">
        <v>124</v>
      </c>
      <c r="B1" s="105" t="s">
        <v>125</v>
      </c>
      <c r="C1" s="99" t="s">
        <v>126</v>
      </c>
      <c r="D1" s="100"/>
      <c r="E1" s="101"/>
      <c r="F1" s="99" t="s">
        <v>127</v>
      </c>
      <c r="G1" s="100"/>
      <c r="H1" s="101"/>
      <c r="I1" s="99" t="s">
        <v>128</v>
      </c>
      <c r="J1" s="100"/>
      <c r="K1" s="101"/>
      <c r="L1" s="99" t="s">
        <v>129</v>
      </c>
      <c r="M1" s="100"/>
      <c r="N1" s="101"/>
      <c r="P1" t="s">
        <v>1610</v>
      </c>
    </row>
    <row r="2" spans="1:32" ht="16.2" x14ac:dyDescent="0.55000000000000004">
      <c r="A2" s="103"/>
      <c r="B2" s="105"/>
      <c r="C2" s="9" t="s">
        <v>130</v>
      </c>
      <c r="D2" s="3" t="s">
        <v>131</v>
      </c>
      <c r="E2" s="11" t="s">
        <v>132</v>
      </c>
      <c r="F2" s="9" t="s">
        <v>130</v>
      </c>
      <c r="G2" s="3" t="s">
        <v>131</v>
      </c>
      <c r="H2" s="11" t="s">
        <v>132</v>
      </c>
      <c r="I2" s="9" t="s">
        <v>130</v>
      </c>
      <c r="J2" s="3" t="s">
        <v>131</v>
      </c>
      <c r="K2" s="11" t="s">
        <v>132</v>
      </c>
      <c r="L2" s="9" t="s">
        <v>130</v>
      </c>
      <c r="M2" s="3" t="s">
        <v>131</v>
      </c>
      <c r="N2" s="11" t="s">
        <v>132</v>
      </c>
    </row>
    <row r="3" spans="1:32" x14ac:dyDescent="0.55000000000000004">
      <c r="A3" s="102" t="s">
        <v>133</v>
      </c>
      <c r="B3" s="14" t="s">
        <v>134</v>
      </c>
      <c r="C3" s="15" t="s">
        <v>135</v>
      </c>
      <c r="D3" s="16">
        <v>1.6E-2</v>
      </c>
      <c r="E3" s="17" t="s">
        <v>18</v>
      </c>
      <c r="F3" s="15" t="s">
        <v>136</v>
      </c>
      <c r="G3" s="16">
        <v>0.58499999999999996</v>
      </c>
      <c r="H3" s="17" t="s">
        <v>18</v>
      </c>
      <c r="I3" s="15" t="s">
        <v>137</v>
      </c>
      <c r="J3" s="16">
        <v>0.71599999999999997</v>
      </c>
      <c r="K3" s="17" t="s">
        <v>18</v>
      </c>
      <c r="L3" s="15" t="s">
        <v>138</v>
      </c>
      <c r="M3" s="16">
        <v>0.78</v>
      </c>
      <c r="N3" s="17" t="s">
        <v>18</v>
      </c>
      <c r="U3" s="2"/>
      <c r="V3" s="2"/>
      <c r="X3" s="2"/>
      <c r="AA3" s="2"/>
      <c r="AB3" s="2"/>
      <c r="AD3" s="2"/>
      <c r="AE3" s="2"/>
    </row>
    <row r="4" spans="1:32" x14ac:dyDescent="0.55000000000000004">
      <c r="A4" s="103"/>
      <c r="B4" s="7" t="s">
        <v>139</v>
      </c>
      <c r="C4" s="10" t="s">
        <v>140</v>
      </c>
      <c r="D4" s="8">
        <v>0.22700000000000001</v>
      </c>
      <c r="E4" s="12" t="s">
        <v>18</v>
      </c>
      <c r="F4" s="10" t="s">
        <v>141</v>
      </c>
      <c r="G4" s="8">
        <v>0.64600000000000002</v>
      </c>
      <c r="H4" s="12" t="s">
        <v>18</v>
      </c>
      <c r="I4" s="10" t="s">
        <v>142</v>
      </c>
      <c r="J4" s="8">
        <v>0.76900000000000002</v>
      </c>
      <c r="K4" s="12" t="s">
        <v>18</v>
      </c>
      <c r="L4" s="10" t="s">
        <v>143</v>
      </c>
      <c r="M4" s="8">
        <v>0.64300000000000002</v>
      </c>
      <c r="N4" s="12" t="s">
        <v>18</v>
      </c>
      <c r="U4" s="2"/>
      <c r="W4" s="2"/>
      <c r="X4" s="2"/>
      <c r="AA4" s="2"/>
      <c r="AC4" s="2"/>
      <c r="AD4" s="2"/>
      <c r="AF4" s="2"/>
    </row>
    <row r="5" spans="1:32" x14ac:dyDescent="0.55000000000000004">
      <c r="A5" s="103"/>
      <c r="B5" s="7" t="s">
        <v>144</v>
      </c>
      <c r="C5" s="10" t="s">
        <v>138</v>
      </c>
      <c r="D5" s="8">
        <v>0.77900000000000003</v>
      </c>
      <c r="E5" s="12" t="s">
        <v>18</v>
      </c>
      <c r="F5" s="10" t="s">
        <v>145</v>
      </c>
      <c r="G5" s="8">
        <v>0.05</v>
      </c>
      <c r="H5" s="12" t="s">
        <v>18</v>
      </c>
      <c r="I5" s="10" t="s">
        <v>146</v>
      </c>
      <c r="J5" s="8">
        <v>2.3E-2</v>
      </c>
      <c r="K5" s="12" t="s">
        <v>18</v>
      </c>
      <c r="L5" s="10" t="s">
        <v>147</v>
      </c>
      <c r="M5" s="8">
        <v>2.4E-2</v>
      </c>
      <c r="N5" s="12" t="s">
        <v>18</v>
      </c>
      <c r="U5" s="2"/>
      <c r="W5" s="2"/>
      <c r="X5" s="2"/>
      <c r="AA5" s="2"/>
      <c r="AC5" s="2"/>
      <c r="AD5" s="2"/>
      <c r="AF5" s="2"/>
    </row>
    <row r="6" spans="1:32" x14ac:dyDescent="0.55000000000000004">
      <c r="A6" s="104"/>
      <c r="B6" s="18" t="s">
        <v>148</v>
      </c>
      <c r="C6" s="19" t="s">
        <v>149</v>
      </c>
      <c r="D6" s="20">
        <v>0.95099999999999996</v>
      </c>
      <c r="E6" s="21" t="s">
        <v>18</v>
      </c>
      <c r="F6" s="19" t="s">
        <v>150</v>
      </c>
      <c r="G6" s="22">
        <v>1.0000000000000001E-5</v>
      </c>
      <c r="H6" s="21">
        <v>1.9000000000000001E-4</v>
      </c>
      <c r="I6" s="19" t="s">
        <v>151</v>
      </c>
      <c r="J6" s="20">
        <v>6.0000000000000001E-3</v>
      </c>
      <c r="K6" s="21" t="s">
        <v>18</v>
      </c>
      <c r="L6" s="19" t="s">
        <v>152</v>
      </c>
      <c r="M6" s="20">
        <v>1E-3</v>
      </c>
      <c r="N6" s="21">
        <v>3.9105649999999997E-9</v>
      </c>
      <c r="U6" s="2"/>
      <c r="W6" s="2"/>
      <c r="X6" s="2"/>
      <c r="AA6" s="2"/>
      <c r="AC6" s="2"/>
      <c r="AD6" s="2"/>
      <c r="AF6" s="2"/>
    </row>
    <row r="7" spans="1:32" x14ac:dyDescent="0.55000000000000004">
      <c r="A7" s="102" t="s">
        <v>153</v>
      </c>
      <c r="B7" s="14" t="s">
        <v>134</v>
      </c>
      <c r="C7" s="15" t="s">
        <v>154</v>
      </c>
      <c r="D7" s="16">
        <v>1.9E-2</v>
      </c>
      <c r="E7" s="17" t="s">
        <v>18</v>
      </c>
      <c r="F7" s="15" t="s">
        <v>155</v>
      </c>
      <c r="G7" s="16">
        <v>0.42499999999999999</v>
      </c>
      <c r="H7" s="17" t="s">
        <v>18</v>
      </c>
      <c r="I7" s="15" t="s">
        <v>156</v>
      </c>
      <c r="J7" s="16">
        <v>0.61799999999999999</v>
      </c>
      <c r="K7" s="17" t="s">
        <v>18</v>
      </c>
      <c r="L7" s="15" t="s">
        <v>157</v>
      </c>
      <c r="M7" s="16">
        <v>0.79200000000000004</v>
      </c>
      <c r="N7" s="17" t="s">
        <v>18</v>
      </c>
    </row>
    <row r="8" spans="1:32" x14ac:dyDescent="0.55000000000000004">
      <c r="A8" s="103"/>
      <c r="B8" s="7" t="s">
        <v>139</v>
      </c>
      <c r="C8" s="10" t="s">
        <v>158</v>
      </c>
      <c r="D8" s="8">
        <v>0.29399999999999998</v>
      </c>
      <c r="E8" s="12" t="s">
        <v>18</v>
      </c>
      <c r="F8" s="10" t="s">
        <v>159</v>
      </c>
      <c r="G8" s="8">
        <v>0.51400000000000001</v>
      </c>
      <c r="H8" s="12" t="s">
        <v>18</v>
      </c>
      <c r="I8" s="10" t="s">
        <v>160</v>
      </c>
      <c r="J8" s="8">
        <v>0.67400000000000004</v>
      </c>
      <c r="K8" s="12" t="s">
        <v>18</v>
      </c>
      <c r="L8" s="10" t="s">
        <v>161</v>
      </c>
      <c r="M8" s="8">
        <v>0.625</v>
      </c>
      <c r="N8" s="12" t="s">
        <v>18</v>
      </c>
    </row>
    <row r="9" spans="1:32" x14ac:dyDescent="0.55000000000000004">
      <c r="A9" s="103"/>
      <c r="B9" s="7" t="s">
        <v>144</v>
      </c>
      <c r="C9" s="10" t="s">
        <v>162</v>
      </c>
      <c r="D9" s="8">
        <v>0.85799999999999998</v>
      </c>
      <c r="E9" s="12" t="s">
        <v>18</v>
      </c>
      <c r="F9" s="10" t="s">
        <v>163</v>
      </c>
      <c r="G9" s="8">
        <v>8.0000000000000002E-3</v>
      </c>
      <c r="H9" s="12" t="s">
        <v>18</v>
      </c>
      <c r="I9" s="10" t="s">
        <v>164</v>
      </c>
      <c r="J9" s="8">
        <v>1E-3</v>
      </c>
      <c r="K9" s="12" t="s">
        <v>18</v>
      </c>
      <c r="L9" s="10" t="s">
        <v>165</v>
      </c>
      <c r="M9" s="8">
        <v>2E-3</v>
      </c>
      <c r="N9" s="12" t="s">
        <v>18</v>
      </c>
    </row>
    <row r="10" spans="1:32" x14ac:dyDescent="0.55000000000000004">
      <c r="A10" s="104"/>
      <c r="B10" s="18" t="s">
        <v>148</v>
      </c>
      <c r="C10" s="19" t="s">
        <v>166</v>
      </c>
      <c r="D10" s="20">
        <v>0.96799999999999997</v>
      </c>
      <c r="E10" s="21" t="s">
        <v>18</v>
      </c>
      <c r="F10" s="19" t="s">
        <v>167</v>
      </c>
      <c r="G10" s="22">
        <v>8.9999999999999993E-3</v>
      </c>
      <c r="H10" s="21">
        <v>1.3200000000000001E-4</v>
      </c>
      <c r="I10" s="19" t="s">
        <v>168</v>
      </c>
      <c r="J10" s="20">
        <v>1.7999999999999999E-2</v>
      </c>
      <c r="K10" s="21" t="s">
        <v>18</v>
      </c>
      <c r="L10" s="19" t="s">
        <v>169</v>
      </c>
      <c r="M10" s="20">
        <v>8.9999999999999993E-3</v>
      </c>
      <c r="N10" s="21">
        <v>3.9105649999999997E-9</v>
      </c>
    </row>
    <row r="11" spans="1:32" x14ac:dyDescent="0.55000000000000004">
      <c r="A11" s="102" t="s">
        <v>170</v>
      </c>
      <c r="B11" s="14" t="s">
        <v>134</v>
      </c>
      <c r="C11" s="15" t="s">
        <v>171</v>
      </c>
      <c r="D11" s="16">
        <v>0.105</v>
      </c>
      <c r="E11" s="17" t="s">
        <v>18</v>
      </c>
      <c r="F11" s="15" t="s">
        <v>172</v>
      </c>
      <c r="G11" s="16">
        <v>0.6</v>
      </c>
      <c r="H11" s="17" t="s">
        <v>18</v>
      </c>
      <c r="I11" s="15" t="s">
        <v>173</v>
      </c>
      <c r="J11" s="16">
        <v>0.74199999999999999</v>
      </c>
      <c r="K11" s="17" t="s">
        <v>18</v>
      </c>
      <c r="L11" s="15" t="s">
        <v>174</v>
      </c>
      <c r="M11" s="16">
        <v>0.75600000000000001</v>
      </c>
      <c r="N11" s="17" t="s">
        <v>18</v>
      </c>
    </row>
    <row r="12" spans="1:32" x14ac:dyDescent="0.55000000000000004">
      <c r="A12" s="103"/>
      <c r="B12" s="7" t="s">
        <v>139</v>
      </c>
      <c r="C12" s="10" t="s">
        <v>175</v>
      </c>
      <c r="D12" s="8">
        <v>0.36399999999999999</v>
      </c>
      <c r="E12" s="12" t="s">
        <v>18</v>
      </c>
      <c r="F12" s="10" t="s">
        <v>176</v>
      </c>
      <c r="G12" s="8">
        <v>0.71199999999999997</v>
      </c>
      <c r="H12" s="12" t="s">
        <v>18</v>
      </c>
      <c r="I12" s="10" t="s">
        <v>177</v>
      </c>
      <c r="J12" s="8">
        <v>0.80600000000000005</v>
      </c>
      <c r="K12" s="12" t="s">
        <v>18</v>
      </c>
      <c r="L12" s="10" t="s">
        <v>160</v>
      </c>
      <c r="M12" s="8">
        <v>0.61399999999999999</v>
      </c>
      <c r="N12" s="12" t="s">
        <v>18</v>
      </c>
    </row>
    <row r="13" spans="1:32" x14ac:dyDescent="0.55000000000000004">
      <c r="A13" s="103"/>
      <c r="B13" s="7" t="s">
        <v>144</v>
      </c>
      <c r="C13" s="10" t="s">
        <v>178</v>
      </c>
      <c r="D13" s="8">
        <v>0.73499999999999999</v>
      </c>
      <c r="E13" s="12" t="s">
        <v>18</v>
      </c>
      <c r="F13" s="10" t="s">
        <v>179</v>
      </c>
      <c r="G13" s="8">
        <v>2E-3</v>
      </c>
      <c r="H13" s="12" t="s">
        <v>18</v>
      </c>
      <c r="I13" s="10" t="s">
        <v>180</v>
      </c>
      <c r="J13" s="8">
        <v>1E-3</v>
      </c>
      <c r="K13" s="12" t="s">
        <v>18</v>
      </c>
      <c r="L13" s="10" t="s">
        <v>181</v>
      </c>
      <c r="M13" s="8">
        <v>5.0000000000000001E-3</v>
      </c>
      <c r="N13" s="12" t="s">
        <v>18</v>
      </c>
    </row>
    <row r="14" spans="1:32" x14ac:dyDescent="0.55000000000000004">
      <c r="A14" s="104"/>
      <c r="B14" s="18" t="s">
        <v>148</v>
      </c>
      <c r="C14" s="19" t="s">
        <v>182</v>
      </c>
      <c r="D14" s="20">
        <v>0.94399999999999995</v>
      </c>
      <c r="E14" s="21" t="s">
        <v>18</v>
      </c>
      <c r="F14" s="19" t="s">
        <v>183</v>
      </c>
      <c r="G14" s="22">
        <v>5.5E-2</v>
      </c>
      <c r="H14" s="21">
        <v>1.3200000000000001E-4</v>
      </c>
      <c r="I14" s="19" t="s">
        <v>184</v>
      </c>
      <c r="J14" s="20">
        <v>5.5E-2</v>
      </c>
      <c r="K14" s="21" t="s">
        <v>18</v>
      </c>
      <c r="L14" s="19" t="s">
        <v>185</v>
      </c>
      <c r="M14" s="20">
        <v>1.7000000000000001E-2</v>
      </c>
      <c r="N14" s="21">
        <v>3.9105649999999997E-9</v>
      </c>
    </row>
    <row r="17" spans="1:19" ht="16.2" x14ac:dyDescent="0.55000000000000004">
      <c r="A17" s="102" t="s">
        <v>124</v>
      </c>
      <c r="B17" s="102" t="s">
        <v>125</v>
      </c>
      <c r="C17" s="119" t="s">
        <v>186</v>
      </c>
      <c r="D17" s="120"/>
      <c r="E17" s="120"/>
      <c r="F17" s="120"/>
      <c r="G17" s="120"/>
      <c r="H17" s="120"/>
      <c r="I17" s="120"/>
      <c r="J17" s="120"/>
      <c r="K17" s="120"/>
      <c r="L17" s="120"/>
      <c r="M17" s="120"/>
      <c r="N17" s="121"/>
      <c r="O17" s="115" t="s">
        <v>187</v>
      </c>
      <c r="P17" s="116"/>
      <c r="Q17" s="102"/>
      <c r="S17" s="3" t="s">
        <v>1611</v>
      </c>
    </row>
    <row r="18" spans="1:19" x14ac:dyDescent="0.55000000000000004">
      <c r="A18" s="103"/>
      <c r="B18" s="103"/>
      <c r="C18" s="116" t="s">
        <v>188</v>
      </c>
      <c r="D18" s="116"/>
      <c r="E18" s="102"/>
      <c r="F18" s="115" t="s">
        <v>189</v>
      </c>
      <c r="G18" s="116"/>
      <c r="H18" s="102"/>
      <c r="I18" s="115" t="s">
        <v>190</v>
      </c>
      <c r="J18" s="116"/>
      <c r="K18" s="102"/>
      <c r="L18" s="115" t="s">
        <v>191</v>
      </c>
      <c r="M18" s="116"/>
      <c r="N18" s="102"/>
      <c r="O18" s="117"/>
      <c r="P18" s="118"/>
      <c r="Q18" s="104"/>
    </row>
    <row r="19" spans="1:19" ht="16.2" x14ac:dyDescent="0.55000000000000004">
      <c r="A19" s="104"/>
      <c r="B19" s="104"/>
      <c r="C19" s="118"/>
      <c r="D19" s="118"/>
      <c r="E19" s="104"/>
      <c r="F19" s="117"/>
      <c r="G19" s="118"/>
      <c r="H19" s="104"/>
      <c r="I19" s="117"/>
      <c r="J19" s="118"/>
      <c r="K19" s="104"/>
      <c r="L19" s="117"/>
      <c r="M19" s="118"/>
      <c r="N19" s="104"/>
      <c r="O19" s="37" t="s">
        <v>192</v>
      </c>
      <c r="P19" s="26" t="s">
        <v>193</v>
      </c>
      <c r="Q19" s="25" t="s">
        <v>132</v>
      </c>
    </row>
    <row r="20" spans="1:19" x14ac:dyDescent="0.55000000000000004">
      <c r="A20" s="102" t="s">
        <v>133</v>
      </c>
      <c r="B20" s="14" t="s">
        <v>134</v>
      </c>
      <c r="C20" s="112" t="s">
        <v>194</v>
      </c>
      <c r="D20" s="113" t="s">
        <v>194</v>
      </c>
      <c r="E20" s="114" t="s">
        <v>194</v>
      </c>
      <c r="F20" s="112" t="s">
        <v>195</v>
      </c>
      <c r="G20" s="113" t="s">
        <v>195</v>
      </c>
      <c r="H20" s="114" t="s">
        <v>195</v>
      </c>
      <c r="I20" s="112" t="s">
        <v>196</v>
      </c>
      <c r="J20" s="113" t="s">
        <v>196</v>
      </c>
      <c r="K20" s="114" t="s">
        <v>196</v>
      </c>
      <c r="L20" s="112" t="s">
        <v>197</v>
      </c>
      <c r="M20" s="113" t="s">
        <v>197</v>
      </c>
      <c r="N20" s="114" t="s">
        <v>197</v>
      </c>
      <c r="O20">
        <v>0.92700000000000005</v>
      </c>
      <c r="P20">
        <v>16991.601999999999</v>
      </c>
      <c r="Q20" s="17" t="s">
        <v>18</v>
      </c>
    </row>
    <row r="21" spans="1:19" x14ac:dyDescent="0.55000000000000004">
      <c r="A21" s="103"/>
      <c r="B21" s="7" t="s">
        <v>139</v>
      </c>
      <c r="C21" s="109" t="s">
        <v>198</v>
      </c>
      <c r="D21" s="110" t="s">
        <v>198</v>
      </c>
      <c r="E21" s="111" t="s">
        <v>198</v>
      </c>
      <c r="F21" s="109" t="s">
        <v>199</v>
      </c>
      <c r="G21" s="110" t="s">
        <v>199</v>
      </c>
      <c r="H21" s="111" t="s">
        <v>199</v>
      </c>
      <c r="I21" s="109" t="s">
        <v>200</v>
      </c>
      <c r="J21" s="110" t="s">
        <v>200</v>
      </c>
      <c r="K21" s="111" t="s">
        <v>200</v>
      </c>
      <c r="L21" s="109" t="s">
        <v>201</v>
      </c>
      <c r="M21" s="110" t="s">
        <v>201</v>
      </c>
      <c r="N21" s="111" t="s">
        <v>201</v>
      </c>
      <c r="O21">
        <v>0.92100000000000004</v>
      </c>
      <c r="P21">
        <v>15514.624</v>
      </c>
      <c r="Q21" s="12" t="s">
        <v>18</v>
      </c>
    </row>
    <row r="22" spans="1:19" x14ac:dyDescent="0.55000000000000004">
      <c r="A22" s="103"/>
      <c r="B22" s="7" t="s">
        <v>144</v>
      </c>
      <c r="C22" s="109" t="s">
        <v>202</v>
      </c>
      <c r="D22" s="110" t="s">
        <v>202</v>
      </c>
      <c r="E22" s="111" t="s">
        <v>202</v>
      </c>
      <c r="F22" s="109" t="s">
        <v>203</v>
      </c>
      <c r="G22" s="110" t="s">
        <v>203</v>
      </c>
      <c r="H22" s="111" t="s">
        <v>203</v>
      </c>
      <c r="I22" s="109" t="s">
        <v>204</v>
      </c>
      <c r="J22" s="110" t="s">
        <v>204</v>
      </c>
      <c r="K22" s="111" t="s">
        <v>204</v>
      </c>
      <c r="L22" s="109" t="s">
        <v>205</v>
      </c>
      <c r="M22" s="110" t="s">
        <v>205</v>
      </c>
      <c r="N22" s="111" t="s">
        <v>205</v>
      </c>
      <c r="O22">
        <v>0.88600000000000001</v>
      </c>
      <c r="P22">
        <v>10340.834000000001</v>
      </c>
      <c r="Q22" s="12" t="s">
        <v>18</v>
      </c>
    </row>
    <row r="23" spans="1:19" x14ac:dyDescent="0.55000000000000004">
      <c r="A23" s="104"/>
      <c r="B23" s="18" t="s">
        <v>148</v>
      </c>
      <c r="C23" s="106" t="s">
        <v>206</v>
      </c>
      <c r="D23" s="107" t="s">
        <v>206</v>
      </c>
      <c r="E23" s="108" t="s">
        <v>206</v>
      </c>
      <c r="F23" s="106" t="s">
        <v>207</v>
      </c>
      <c r="G23" s="107" t="s">
        <v>207</v>
      </c>
      <c r="H23" s="108" t="s">
        <v>207</v>
      </c>
      <c r="I23" s="106" t="s">
        <v>208</v>
      </c>
      <c r="J23" s="107" t="s">
        <v>208</v>
      </c>
      <c r="K23" s="108" t="s">
        <v>208</v>
      </c>
      <c r="L23" s="106" t="s">
        <v>209</v>
      </c>
      <c r="M23" s="107" t="s">
        <v>209</v>
      </c>
      <c r="N23" s="108" t="s">
        <v>209</v>
      </c>
      <c r="O23">
        <v>0.90600000000000003</v>
      </c>
      <c r="P23">
        <v>12928.517</v>
      </c>
      <c r="Q23" s="21" t="s">
        <v>18</v>
      </c>
    </row>
    <row r="24" spans="1:19" x14ac:dyDescent="0.55000000000000004">
      <c r="A24" s="102" t="s">
        <v>153</v>
      </c>
      <c r="B24" s="14" t="s">
        <v>134</v>
      </c>
      <c r="C24" s="112" t="s">
        <v>210</v>
      </c>
      <c r="D24" s="113" t="s">
        <v>210</v>
      </c>
      <c r="E24" s="114" t="s">
        <v>210</v>
      </c>
      <c r="F24" s="112" t="s">
        <v>211</v>
      </c>
      <c r="G24" s="113" t="s">
        <v>211</v>
      </c>
      <c r="H24" s="114" t="s">
        <v>211</v>
      </c>
      <c r="I24" s="112" t="s">
        <v>212</v>
      </c>
      <c r="J24" s="113" t="s">
        <v>212</v>
      </c>
      <c r="K24" s="114" t="s">
        <v>212</v>
      </c>
      <c r="L24" s="112" t="s">
        <v>213</v>
      </c>
      <c r="M24" s="113" t="s">
        <v>213</v>
      </c>
      <c r="N24" s="114" t="s">
        <v>213</v>
      </c>
      <c r="O24" s="31">
        <v>0.88400000000000001</v>
      </c>
      <c r="P24" s="24">
        <v>4651.7169999999996</v>
      </c>
      <c r="Q24" s="17" t="s">
        <v>18</v>
      </c>
    </row>
    <row r="25" spans="1:19" x14ac:dyDescent="0.55000000000000004">
      <c r="A25" s="103"/>
      <c r="B25" s="7" t="s">
        <v>139</v>
      </c>
      <c r="C25" s="109" t="s">
        <v>214</v>
      </c>
      <c r="D25" s="110" t="s">
        <v>214</v>
      </c>
      <c r="E25" s="111" t="s">
        <v>214</v>
      </c>
      <c r="F25" s="109" t="s">
        <v>215</v>
      </c>
      <c r="G25" s="110" t="s">
        <v>215</v>
      </c>
      <c r="H25" s="111" t="s">
        <v>215</v>
      </c>
      <c r="I25" s="109" t="s">
        <v>216</v>
      </c>
      <c r="J25" s="110" t="s">
        <v>216</v>
      </c>
      <c r="K25" s="111" t="s">
        <v>216</v>
      </c>
      <c r="L25" s="109" t="s">
        <v>217</v>
      </c>
      <c r="M25" s="110" t="s">
        <v>217</v>
      </c>
      <c r="N25" s="111" t="s">
        <v>217</v>
      </c>
      <c r="O25" s="33">
        <v>0.90100000000000002</v>
      </c>
      <c r="P25">
        <v>5553.4440000000004</v>
      </c>
      <c r="Q25" s="12" t="s">
        <v>18</v>
      </c>
    </row>
    <row r="26" spans="1:19" x14ac:dyDescent="0.55000000000000004">
      <c r="A26" s="103"/>
      <c r="B26" s="7" t="s">
        <v>144</v>
      </c>
      <c r="C26" s="109" t="s">
        <v>218</v>
      </c>
      <c r="D26" s="110" t="s">
        <v>218</v>
      </c>
      <c r="E26" s="111" t="s">
        <v>218</v>
      </c>
      <c r="F26" s="109" t="s">
        <v>219</v>
      </c>
      <c r="G26" s="110" t="s">
        <v>219</v>
      </c>
      <c r="H26" s="111" t="s">
        <v>219</v>
      </c>
      <c r="I26" s="109" t="s">
        <v>220</v>
      </c>
      <c r="J26" s="110" t="s">
        <v>220</v>
      </c>
      <c r="K26" s="111" t="s">
        <v>220</v>
      </c>
      <c r="L26" s="109" t="s">
        <v>221</v>
      </c>
      <c r="M26" s="110" t="s">
        <v>221</v>
      </c>
      <c r="N26" s="111" t="s">
        <v>221</v>
      </c>
      <c r="O26" s="33">
        <v>0.88100000000000001</v>
      </c>
      <c r="P26">
        <v>4497.7790000000005</v>
      </c>
      <c r="Q26" s="12" t="s">
        <v>18</v>
      </c>
    </row>
    <row r="27" spans="1:19" x14ac:dyDescent="0.55000000000000004">
      <c r="A27" s="104"/>
      <c r="B27" s="18" t="s">
        <v>148</v>
      </c>
      <c r="C27" s="106" t="s">
        <v>222</v>
      </c>
      <c r="D27" s="107" t="s">
        <v>222</v>
      </c>
      <c r="E27" s="108" t="s">
        <v>222</v>
      </c>
      <c r="F27" s="106" t="s">
        <v>223</v>
      </c>
      <c r="G27" s="107" t="s">
        <v>223</v>
      </c>
      <c r="H27" s="108" t="s">
        <v>223</v>
      </c>
      <c r="I27" s="106" t="s">
        <v>224</v>
      </c>
      <c r="J27" s="107" t="s">
        <v>224</v>
      </c>
      <c r="K27" s="108" t="s">
        <v>224</v>
      </c>
      <c r="L27" s="106" t="s">
        <v>225</v>
      </c>
      <c r="M27" s="107" t="s">
        <v>225</v>
      </c>
      <c r="N27" s="108" t="s">
        <v>225</v>
      </c>
      <c r="O27" s="35">
        <v>0.88600000000000001</v>
      </c>
      <c r="P27" s="23">
        <v>4718.2340000000004</v>
      </c>
      <c r="Q27" s="21" t="s">
        <v>18</v>
      </c>
    </row>
    <row r="28" spans="1:19" x14ac:dyDescent="0.55000000000000004">
      <c r="A28" s="102" t="s">
        <v>170</v>
      </c>
      <c r="B28" s="14" t="s">
        <v>134</v>
      </c>
      <c r="C28" s="112" t="s">
        <v>226</v>
      </c>
      <c r="D28" s="113" t="s">
        <v>226</v>
      </c>
      <c r="E28" s="114" t="s">
        <v>226</v>
      </c>
      <c r="F28" s="112" t="s">
        <v>195</v>
      </c>
      <c r="G28" s="113" t="s">
        <v>195</v>
      </c>
      <c r="H28" s="114" t="s">
        <v>195</v>
      </c>
      <c r="I28" s="112" t="s">
        <v>227</v>
      </c>
      <c r="J28" s="113" t="s">
        <v>227</v>
      </c>
      <c r="K28" s="114" t="s">
        <v>227</v>
      </c>
      <c r="L28" s="112" t="s">
        <v>228</v>
      </c>
      <c r="M28" s="113" t="s">
        <v>228</v>
      </c>
      <c r="N28" s="114" t="s">
        <v>228</v>
      </c>
      <c r="O28" s="31">
        <v>0.89600000000000002</v>
      </c>
      <c r="P28" s="24">
        <v>6275.8370000000004</v>
      </c>
      <c r="Q28" s="32" t="s">
        <v>18</v>
      </c>
    </row>
    <row r="29" spans="1:19" x14ac:dyDescent="0.55000000000000004">
      <c r="A29" s="103"/>
      <c r="B29" s="7" t="s">
        <v>139</v>
      </c>
      <c r="C29" s="109" t="s">
        <v>229</v>
      </c>
      <c r="D29" s="110" t="s">
        <v>229</v>
      </c>
      <c r="E29" s="111" t="s">
        <v>229</v>
      </c>
      <c r="F29" s="109" t="s">
        <v>230</v>
      </c>
      <c r="G29" s="110" t="s">
        <v>230</v>
      </c>
      <c r="H29" s="111" t="s">
        <v>230</v>
      </c>
      <c r="I29" s="109" t="s">
        <v>231</v>
      </c>
      <c r="J29" s="110" t="s">
        <v>231</v>
      </c>
      <c r="K29" s="111" t="s">
        <v>231</v>
      </c>
      <c r="L29" s="109" t="s">
        <v>232</v>
      </c>
      <c r="M29" s="110" t="s">
        <v>232</v>
      </c>
      <c r="N29" s="111" t="s">
        <v>232</v>
      </c>
      <c r="O29" s="33">
        <v>0.90300000000000002</v>
      </c>
      <c r="P29">
        <v>6791.15</v>
      </c>
      <c r="Q29" s="34" t="s">
        <v>18</v>
      </c>
    </row>
    <row r="30" spans="1:19" x14ac:dyDescent="0.55000000000000004">
      <c r="A30" s="103"/>
      <c r="B30" s="7" t="s">
        <v>144</v>
      </c>
      <c r="C30" s="109" t="s">
        <v>233</v>
      </c>
      <c r="D30" s="110" t="s">
        <v>233</v>
      </c>
      <c r="E30" s="111" t="s">
        <v>233</v>
      </c>
      <c r="F30" s="109" t="s">
        <v>234</v>
      </c>
      <c r="G30" s="110" t="s">
        <v>234</v>
      </c>
      <c r="H30" s="111" t="s">
        <v>234</v>
      </c>
      <c r="I30" s="109" t="s">
        <v>235</v>
      </c>
      <c r="J30" s="110" t="s">
        <v>235</v>
      </c>
      <c r="K30" s="111" t="s">
        <v>235</v>
      </c>
      <c r="L30" s="109" t="s">
        <v>236</v>
      </c>
      <c r="M30" s="110" t="s">
        <v>236</v>
      </c>
      <c r="N30" s="111" t="s">
        <v>236</v>
      </c>
      <c r="O30" s="33">
        <v>0.82899999999999996</v>
      </c>
      <c r="P30">
        <v>3530.6080000000002</v>
      </c>
      <c r="Q30" s="34" t="s">
        <v>18</v>
      </c>
    </row>
    <row r="31" spans="1:19" x14ac:dyDescent="0.55000000000000004">
      <c r="A31" s="104"/>
      <c r="B31" s="18" t="s">
        <v>148</v>
      </c>
      <c r="C31" s="106" t="s">
        <v>237</v>
      </c>
      <c r="D31" s="107" t="s">
        <v>237</v>
      </c>
      <c r="E31" s="108" t="s">
        <v>237</v>
      </c>
      <c r="F31" s="106" t="s">
        <v>238</v>
      </c>
      <c r="G31" s="107" t="s">
        <v>238</v>
      </c>
      <c r="H31" s="108" t="s">
        <v>238</v>
      </c>
      <c r="I31" s="106" t="s">
        <v>239</v>
      </c>
      <c r="J31" s="107" t="s">
        <v>239</v>
      </c>
      <c r="K31" s="108" t="s">
        <v>239</v>
      </c>
      <c r="L31" s="106" t="s">
        <v>240</v>
      </c>
      <c r="M31" s="107" t="s">
        <v>240</v>
      </c>
      <c r="N31" s="108" t="s">
        <v>240</v>
      </c>
      <c r="O31" s="35">
        <v>0.90400000000000003</v>
      </c>
      <c r="P31" s="23">
        <v>6807.125</v>
      </c>
      <c r="Q31" s="36" t="s">
        <v>18</v>
      </c>
    </row>
    <row r="35" spans="4:6" x14ac:dyDescent="0.55000000000000004">
      <c r="F35" s="5"/>
    </row>
    <row r="36" spans="4:6" x14ac:dyDescent="0.55000000000000004">
      <c r="D36" s="5"/>
    </row>
  </sheetData>
  <mergeCells count="68">
    <mergeCell ref="A24:A27"/>
    <mergeCell ref="A28:A31"/>
    <mergeCell ref="B17:B19"/>
    <mergeCell ref="A17:A19"/>
    <mergeCell ref="O17:Q18"/>
    <mergeCell ref="L26:N26"/>
    <mergeCell ref="L27:N27"/>
    <mergeCell ref="L28:N28"/>
    <mergeCell ref="L29:N29"/>
    <mergeCell ref="C17:N17"/>
    <mergeCell ref="C18:E19"/>
    <mergeCell ref="F18:H19"/>
    <mergeCell ref="I18:K19"/>
    <mergeCell ref="L18:N19"/>
    <mergeCell ref="L30:N30"/>
    <mergeCell ref="L31:N31"/>
    <mergeCell ref="L20:N20"/>
    <mergeCell ref="L21:N21"/>
    <mergeCell ref="L22:N22"/>
    <mergeCell ref="L23:N23"/>
    <mergeCell ref="L24:N24"/>
    <mergeCell ref="L25:N25"/>
    <mergeCell ref="I25:K25"/>
    <mergeCell ref="I26:K26"/>
    <mergeCell ref="I27:K27"/>
    <mergeCell ref="I28:K28"/>
    <mergeCell ref="I20:K20"/>
    <mergeCell ref="I21:K21"/>
    <mergeCell ref="I22:K22"/>
    <mergeCell ref="I23:K23"/>
    <mergeCell ref="I24:K24"/>
    <mergeCell ref="F27:H27"/>
    <mergeCell ref="F28:H28"/>
    <mergeCell ref="F29:H29"/>
    <mergeCell ref="F30:H30"/>
    <mergeCell ref="I31:K31"/>
    <mergeCell ref="I30:K30"/>
    <mergeCell ref="I29:K29"/>
    <mergeCell ref="C31:E31"/>
    <mergeCell ref="C30:E30"/>
    <mergeCell ref="C29:E29"/>
    <mergeCell ref="C28:E28"/>
    <mergeCell ref="F20:H20"/>
    <mergeCell ref="F21:H21"/>
    <mergeCell ref="F22:H22"/>
    <mergeCell ref="F23:H23"/>
    <mergeCell ref="F24:H24"/>
    <mergeCell ref="F31:H31"/>
    <mergeCell ref="C26:E26"/>
    <mergeCell ref="C24:E24"/>
    <mergeCell ref="C25:E25"/>
    <mergeCell ref="C27:E27"/>
    <mergeCell ref="F25:H25"/>
    <mergeCell ref="F26:H26"/>
    <mergeCell ref="A11:A14"/>
    <mergeCell ref="A3:A6"/>
    <mergeCell ref="A1:A2"/>
    <mergeCell ref="B1:B2"/>
    <mergeCell ref="C23:E23"/>
    <mergeCell ref="C22:E22"/>
    <mergeCell ref="C21:E21"/>
    <mergeCell ref="C20:E20"/>
    <mergeCell ref="A20:A23"/>
    <mergeCell ref="L1:N1"/>
    <mergeCell ref="C1:E1"/>
    <mergeCell ref="F1:H1"/>
    <mergeCell ref="I1:K1"/>
    <mergeCell ref="A7:A10"/>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1C964-2088-4724-BE19-F2F6C12DBD39}">
  <dimension ref="A1:G24"/>
  <sheetViews>
    <sheetView tabSelected="1" workbookViewId="0">
      <selection activeCell="I12" sqref="I12"/>
    </sheetView>
  </sheetViews>
  <sheetFormatPr defaultRowHeight="14.4" x14ac:dyDescent="0.55000000000000004"/>
  <cols>
    <col min="1" max="1" width="27.578125" customWidth="1"/>
    <col min="2" max="2" width="15.83984375" customWidth="1"/>
    <col min="3" max="3" width="16.68359375" customWidth="1"/>
    <col min="5" max="5" width="11.83984375" customWidth="1"/>
  </cols>
  <sheetData>
    <row r="1" spans="1:7" x14ac:dyDescent="0.55000000000000004">
      <c r="A1" s="61" t="s">
        <v>241</v>
      </c>
      <c r="B1" s="61" t="s">
        <v>242</v>
      </c>
      <c r="C1" s="61" t="s">
        <v>243</v>
      </c>
      <c r="D1" s="61" t="s">
        <v>244</v>
      </c>
      <c r="E1" s="61" t="s">
        <v>245</v>
      </c>
    </row>
    <row r="2" spans="1:7" x14ac:dyDescent="0.55000000000000004">
      <c r="A2" s="122" t="s">
        <v>43</v>
      </c>
      <c r="B2" s="123" t="s">
        <v>246</v>
      </c>
      <c r="C2" s="62" t="s">
        <v>126</v>
      </c>
      <c r="D2" s="63">
        <v>7.2499999999999998E-10</v>
      </c>
      <c r="E2" s="122" t="s">
        <v>18</v>
      </c>
      <c r="G2" t="s">
        <v>1616</v>
      </c>
    </row>
    <row r="3" spans="1:7" x14ac:dyDescent="0.55000000000000004">
      <c r="A3" s="122"/>
      <c r="B3" s="122"/>
      <c r="C3" s="62" t="s">
        <v>124</v>
      </c>
      <c r="D3" s="62">
        <v>0.47299999999999998</v>
      </c>
      <c r="E3" s="122"/>
    </row>
    <row r="4" spans="1:7" x14ac:dyDescent="0.55000000000000004">
      <c r="A4" s="122"/>
      <c r="B4" s="122"/>
      <c r="C4" s="62" t="s">
        <v>19</v>
      </c>
      <c r="D4" s="62" t="s">
        <v>247</v>
      </c>
      <c r="E4" s="122"/>
    </row>
    <row r="5" spans="1:7" ht="16.2" x14ac:dyDescent="0.55000000000000004">
      <c r="A5" s="122"/>
      <c r="B5" s="122"/>
      <c r="C5" s="62" t="s">
        <v>1617</v>
      </c>
      <c r="D5" s="63">
        <v>1.6799999999999998E-5</v>
      </c>
      <c r="E5" s="122"/>
    </row>
    <row r="6" spans="1:7" x14ac:dyDescent="0.55000000000000004">
      <c r="A6" s="122" t="s">
        <v>248</v>
      </c>
      <c r="B6" s="123" t="s">
        <v>249</v>
      </c>
      <c r="C6" s="62" t="s">
        <v>250</v>
      </c>
      <c r="D6" s="62">
        <v>0.81599999999999995</v>
      </c>
      <c r="E6" s="122" t="s">
        <v>18</v>
      </c>
    </row>
    <row r="7" spans="1:7" x14ac:dyDescent="0.55000000000000004">
      <c r="A7" s="122"/>
      <c r="B7" s="123"/>
      <c r="C7" s="62" t="s">
        <v>124</v>
      </c>
      <c r="D7" s="62">
        <v>2.1999999999999999E-2</v>
      </c>
      <c r="E7" s="122"/>
    </row>
    <row r="8" spans="1:7" x14ac:dyDescent="0.55000000000000004">
      <c r="A8" s="122"/>
      <c r="B8" s="123"/>
      <c r="C8" s="62" t="s">
        <v>19</v>
      </c>
      <c r="D8" s="62" t="s">
        <v>247</v>
      </c>
      <c r="E8" s="122"/>
    </row>
    <row r="9" spans="1:7" ht="16.2" x14ac:dyDescent="0.55000000000000004">
      <c r="A9" s="122"/>
      <c r="B9" s="123"/>
      <c r="C9" s="62" t="s">
        <v>1617</v>
      </c>
      <c r="D9" s="63">
        <v>1.1999999999999999E-3</v>
      </c>
      <c r="E9" s="122"/>
    </row>
    <row r="10" spans="1:7" x14ac:dyDescent="0.55000000000000004">
      <c r="A10" s="122" t="s">
        <v>251</v>
      </c>
      <c r="B10" s="123" t="s">
        <v>252</v>
      </c>
      <c r="C10" s="62" t="s">
        <v>128</v>
      </c>
      <c r="D10" s="62">
        <v>0.85499999999999998</v>
      </c>
      <c r="E10" s="122" t="s">
        <v>18</v>
      </c>
    </row>
    <row r="11" spans="1:7" x14ac:dyDescent="0.55000000000000004">
      <c r="A11" s="122"/>
      <c r="B11" s="123"/>
      <c r="C11" s="62" t="s">
        <v>124</v>
      </c>
      <c r="D11" s="30">
        <v>1.2E-2</v>
      </c>
      <c r="E11" s="122"/>
    </row>
    <row r="12" spans="1:7" x14ac:dyDescent="0.55000000000000004">
      <c r="A12" s="122"/>
      <c r="B12" s="123"/>
      <c r="C12" s="62" t="s">
        <v>19</v>
      </c>
      <c r="D12" s="62" t="s">
        <v>247</v>
      </c>
      <c r="E12" s="122"/>
    </row>
    <row r="13" spans="1:7" ht="16.2" x14ac:dyDescent="0.55000000000000004">
      <c r="A13" s="122"/>
      <c r="B13" s="123"/>
      <c r="C13" s="62" t="s">
        <v>1617</v>
      </c>
      <c r="D13" s="63">
        <v>6.7199999999999996E-4</v>
      </c>
      <c r="E13" s="122"/>
    </row>
    <row r="14" spans="1:7" x14ac:dyDescent="0.55000000000000004">
      <c r="A14" s="122" t="s">
        <v>253</v>
      </c>
      <c r="B14" s="123" t="s">
        <v>254</v>
      </c>
      <c r="C14" s="62" t="s">
        <v>129</v>
      </c>
      <c r="D14" s="29">
        <v>0.121</v>
      </c>
      <c r="E14" s="122" t="s">
        <v>18</v>
      </c>
    </row>
    <row r="15" spans="1:7" x14ac:dyDescent="0.55000000000000004">
      <c r="A15" s="122"/>
      <c r="B15" s="123"/>
      <c r="C15" s="62" t="s">
        <v>124</v>
      </c>
      <c r="D15" s="63">
        <v>1.93E-4</v>
      </c>
      <c r="E15" s="122"/>
    </row>
    <row r="16" spans="1:7" x14ac:dyDescent="0.55000000000000004">
      <c r="A16" s="122"/>
      <c r="B16" s="123"/>
      <c r="C16" s="62" t="s">
        <v>19</v>
      </c>
      <c r="D16" s="62" t="s">
        <v>247</v>
      </c>
      <c r="E16" s="122"/>
    </row>
    <row r="17" spans="1:5" ht="16.2" x14ac:dyDescent="0.55000000000000004">
      <c r="A17" s="122"/>
      <c r="B17" s="123"/>
      <c r="C17" s="62" t="s">
        <v>1617</v>
      </c>
      <c r="D17" s="63">
        <v>3.1000000000000001E-5</v>
      </c>
      <c r="E17" s="122"/>
    </row>
    <row r="18" spans="1:5" x14ac:dyDescent="0.55000000000000004">
      <c r="A18" s="122" t="s">
        <v>255</v>
      </c>
      <c r="B18" s="123" t="s">
        <v>256</v>
      </c>
      <c r="C18" s="62" t="s">
        <v>257</v>
      </c>
      <c r="D18" s="63">
        <v>2.8599999999999999E-13</v>
      </c>
      <c r="E18" s="122" t="s">
        <v>18</v>
      </c>
    </row>
    <row r="19" spans="1:5" x14ac:dyDescent="0.55000000000000004">
      <c r="A19" s="122"/>
      <c r="B19" s="122"/>
      <c r="C19" s="62" t="s">
        <v>134</v>
      </c>
      <c r="D19" s="30">
        <v>0.83899999999999997</v>
      </c>
      <c r="E19" s="122"/>
    </row>
    <row r="20" spans="1:5" x14ac:dyDescent="0.55000000000000004">
      <c r="A20" s="122"/>
      <c r="B20" s="122"/>
      <c r="C20" s="62" t="s">
        <v>139</v>
      </c>
      <c r="D20" s="62">
        <v>0.30099999999999999</v>
      </c>
      <c r="E20" s="122"/>
    </row>
    <row r="21" spans="1:5" x14ac:dyDescent="0.55000000000000004">
      <c r="A21" s="122"/>
      <c r="B21" s="122"/>
      <c r="C21" s="62" t="s">
        <v>144</v>
      </c>
      <c r="D21" s="63">
        <v>1.5900000000000001E-7</v>
      </c>
      <c r="E21" s="122"/>
    </row>
    <row r="22" spans="1:5" x14ac:dyDescent="0.55000000000000004">
      <c r="A22" s="122"/>
      <c r="B22" s="122"/>
      <c r="C22" s="62" t="s">
        <v>124</v>
      </c>
      <c r="D22" s="29">
        <v>0.34699999999999998</v>
      </c>
      <c r="E22" s="122"/>
    </row>
    <row r="23" spans="1:5" x14ac:dyDescent="0.55000000000000004">
      <c r="A23" s="122"/>
      <c r="B23" s="122"/>
      <c r="C23" s="62" t="s">
        <v>19</v>
      </c>
      <c r="D23" s="62" t="s">
        <v>247</v>
      </c>
      <c r="E23" s="122"/>
    </row>
    <row r="24" spans="1:5" ht="16.2" x14ac:dyDescent="0.55000000000000004">
      <c r="A24" s="122"/>
      <c r="B24" s="122"/>
      <c r="C24" s="62" t="s">
        <v>1617</v>
      </c>
      <c r="D24" s="63">
        <v>4.0000000000000001E-3</v>
      </c>
      <c r="E24" s="122"/>
    </row>
  </sheetData>
  <mergeCells count="15">
    <mergeCell ref="A2:A5"/>
    <mergeCell ref="B2:B5"/>
    <mergeCell ref="E2:E5"/>
    <mergeCell ref="A6:A9"/>
    <mergeCell ref="B6:B9"/>
    <mergeCell ref="E6:E9"/>
    <mergeCell ref="A18:A24"/>
    <mergeCell ref="B18:B24"/>
    <mergeCell ref="E18:E24"/>
    <mergeCell ref="A10:A13"/>
    <mergeCell ref="B10:B13"/>
    <mergeCell ref="E10:E13"/>
    <mergeCell ref="A14:A17"/>
    <mergeCell ref="B14:B17"/>
    <mergeCell ref="E14:E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87F27-3739-4C99-BBBE-DA0B3FCE492B}">
  <dimension ref="A1:N56"/>
  <sheetViews>
    <sheetView zoomScale="69" zoomScaleNormal="55" workbookViewId="0">
      <selection activeCell="M34" sqref="M34"/>
    </sheetView>
  </sheetViews>
  <sheetFormatPr defaultRowHeight="14.4" x14ac:dyDescent="0.55000000000000004"/>
  <cols>
    <col min="1" max="1" width="21.83984375" customWidth="1"/>
    <col min="2" max="2" width="18.68359375" customWidth="1"/>
    <col min="3" max="3" width="12" customWidth="1"/>
    <col min="4" max="4" width="17" customWidth="1"/>
    <col min="5" max="5" width="12.41796875" customWidth="1"/>
    <col min="6" max="6" width="16.578125" customWidth="1"/>
    <col min="7" max="7" width="11.578125" customWidth="1"/>
    <col min="8" max="8" width="17" customWidth="1"/>
    <col min="9" max="9" width="11.68359375" customWidth="1"/>
    <col min="10" max="10" width="18.68359375" customWidth="1"/>
    <col min="11" max="11" width="17" customWidth="1"/>
    <col min="12" max="12" width="12.41796875" customWidth="1"/>
    <col min="13" max="13" width="12.26171875" customWidth="1"/>
  </cols>
  <sheetData>
    <row r="1" spans="1:14" x14ac:dyDescent="0.55000000000000004">
      <c r="A1" s="97" t="s">
        <v>258</v>
      </c>
      <c r="B1" s="97" t="s">
        <v>259</v>
      </c>
      <c r="C1" s="97" t="s">
        <v>124</v>
      </c>
      <c r="D1" s="98" t="s">
        <v>260</v>
      </c>
      <c r="E1" s="98"/>
      <c r="F1" s="98" t="s">
        <v>261</v>
      </c>
      <c r="G1" s="98"/>
      <c r="H1" s="98" t="s">
        <v>262</v>
      </c>
      <c r="I1" s="98"/>
      <c r="J1" s="97" t="s">
        <v>259</v>
      </c>
      <c r="K1" s="98" t="s">
        <v>1261</v>
      </c>
      <c r="L1" s="98"/>
      <c r="N1" s="86" t="s">
        <v>1577</v>
      </c>
    </row>
    <row r="2" spans="1:14" ht="14.7" thickBot="1" x14ac:dyDescent="0.6">
      <c r="A2" s="125"/>
      <c r="B2" s="125"/>
      <c r="C2" s="125"/>
      <c r="D2" s="84" t="s">
        <v>263</v>
      </c>
      <c r="E2" s="84" t="s">
        <v>132</v>
      </c>
      <c r="F2" s="84" t="s">
        <v>263</v>
      </c>
      <c r="G2" s="84" t="s">
        <v>132</v>
      </c>
      <c r="H2" s="84" t="s">
        <v>263</v>
      </c>
      <c r="I2" s="84" t="s">
        <v>132</v>
      </c>
      <c r="J2" s="125"/>
      <c r="K2" s="84" t="s">
        <v>263</v>
      </c>
      <c r="L2" s="84" t="s">
        <v>132</v>
      </c>
    </row>
    <row r="3" spans="1:14" x14ac:dyDescent="0.55000000000000004">
      <c r="A3" s="124" t="s">
        <v>134</v>
      </c>
      <c r="B3" s="41" t="s">
        <v>264</v>
      </c>
      <c r="C3" s="42" t="s">
        <v>265</v>
      </c>
      <c r="D3" s="42" t="s">
        <v>266</v>
      </c>
      <c r="E3" s="44" t="s">
        <v>18</v>
      </c>
      <c r="F3" s="42" t="s">
        <v>267</v>
      </c>
      <c r="G3" s="44" t="s">
        <v>18</v>
      </c>
      <c r="H3" s="42" t="s">
        <v>268</v>
      </c>
      <c r="I3" s="44" t="s">
        <v>18</v>
      </c>
      <c r="J3" s="41" t="s">
        <v>1287</v>
      </c>
      <c r="K3" s="42" t="s">
        <v>1299</v>
      </c>
      <c r="L3" s="44" t="s">
        <v>18</v>
      </c>
    </row>
    <row r="4" spans="1:14" x14ac:dyDescent="0.55000000000000004">
      <c r="A4" s="97"/>
      <c r="B4" s="30" t="s">
        <v>269</v>
      </c>
      <c r="C4" s="30" t="s">
        <v>270</v>
      </c>
      <c r="D4" s="30" t="s">
        <v>271</v>
      </c>
      <c r="E4" s="40" t="s">
        <v>18</v>
      </c>
      <c r="F4" s="30" t="s">
        <v>272</v>
      </c>
      <c r="G4" s="40" t="s">
        <v>18</v>
      </c>
      <c r="H4" s="30" t="s">
        <v>273</v>
      </c>
      <c r="I4" s="40" t="s">
        <v>18</v>
      </c>
      <c r="J4" s="30" t="s">
        <v>1288</v>
      </c>
      <c r="K4" s="30" t="s">
        <v>1300</v>
      </c>
      <c r="L4" s="40">
        <v>3.7586475380744503E-14</v>
      </c>
    </row>
    <row r="5" spans="1:14" ht="14.7" thickBot="1" x14ac:dyDescent="0.6">
      <c r="A5" s="125"/>
      <c r="B5" s="46" t="s">
        <v>274</v>
      </c>
      <c r="C5" s="46" t="s">
        <v>275</v>
      </c>
      <c r="D5" s="46" t="s">
        <v>276</v>
      </c>
      <c r="E5" s="48" t="s">
        <v>18</v>
      </c>
      <c r="F5" s="46" t="s">
        <v>277</v>
      </c>
      <c r="G5" s="48" t="s">
        <v>18</v>
      </c>
      <c r="H5" s="46" t="s">
        <v>278</v>
      </c>
      <c r="I5" s="48" t="s">
        <v>18</v>
      </c>
      <c r="J5" s="46" t="s">
        <v>1289</v>
      </c>
      <c r="K5" s="46" t="s">
        <v>1301</v>
      </c>
      <c r="L5" s="48">
        <v>7.0932285933757204E-9</v>
      </c>
    </row>
    <row r="6" spans="1:14" x14ac:dyDescent="0.55000000000000004">
      <c r="A6" s="124" t="s">
        <v>139</v>
      </c>
      <c r="B6" s="41" t="s">
        <v>264</v>
      </c>
      <c r="C6" s="42" t="s">
        <v>265</v>
      </c>
      <c r="D6" s="42" t="s">
        <v>279</v>
      </c>
      <c r="E6" s="43">
        <v>2.32307112186679E-12</v>
      </c>
      <c r="F6" s="42" t="s">
        <v>280</v>
      </c>
      <c r="G6" s="44">
        <v>3.3129999822575201E-10</v>
      </c>
      <c r="H6" s="42" t="s">
        <v>281</v>
      </c>
      <c r="I6" s="43">
        <v>6.09089412630178E-10</v>
      </c>
      <c r="J6" s="50" t="s">
        <v>1287</v>
      </c>
      <c r="K6" s="42" t="s">
        <v>1296</v>
      </c>
      <c r="L6" s="43">
        <v>1.7095744050988999E-6</v>
      </c>
    </row>
    <row r="7" spans="1:14" x14ac:dyDescent="0.55000000000000004">
      <c r="A7" s="97"/>
      <c r="B7" s="30" t="s">
        <v>269</v>
      </c>
      <c r="C7" s="30" t="s">
        <v>270</v>
      </c>
      <c r="D7" s="30" t="s">
        <v>282</v>
      </c>
      <c r="E7" s="83">
        <v>2.7999999999999998E-4</v>
      </c>
      <c r="F7" s="30" t="s">
        <v>283</v>
      </c>
      <c r="G7" s="40">
        <v>1.1E-4</v>
      </c>
      <c r="H7" s="30" t="s">
        <v>284</v>
      </c>
      <c r="I7" s="83">
        <v>1.6000000000000001E-4</v>
      </c>
      <c r="J7" s="30" t="s">
        <v>1288</v>
      </c>
      <c r="K7" s="30" t="s">
        <v>1297</v>
      </c>
      <c r="L7" s="83">
        <v>3.8943125922977098E-4</v>
      </c>
    </row>
    <row r="8" spans="1:14" ht="14.7" thickBot="1" x14ac:dyDescent="0.6">
      <c r="A8" s="125"/>
      <c r="B8" s="46" t="s">
        <v>274</v>
      </c>
      <c r="C8" s="46" t="s">
        <v>275</v>
      </c>
      <c r="D8" s="46" t="s">
        <v>285</v>
      </c>
      <c r="E8" s="47">
        <v>1.8289314498739499E-12</v>
      </c>
      <c r="F8" s="46" t="s">
        <v>286</v>
      </c>
      <c r="G8" s="48">
        <v>3.7274865951203601E-8</v>
      </c>
      <c r="H8" s="46" t="s">
        <v>287</v>
      </c>
      <c r="I8" s="47">
        <v>1.79075343306458E-8</v>
      </c>
      <c r="J8" s="46" t="s">
        <v>1289</v>
      </c>
      <c r="K8" s="46" t="s">
        <v>1298</v>
      </c>
      <c r="L8" s="47">
        <v>3.77025164184764E-4</v>
      </c>
    </row>
    <row r="9" spans="1:14" x14ac:dyDescent="0.55000000000000004">
      <c r="A9" s="97" t="s">
        <v>144</v>
      </c>
      <c r="B9" s="38" t="s">
        <v>264</v>
      </c>
      <c r="C9" s="30" t="s">
        <v>265</v>
      </c>
      <c r="D9" s="30" t="s">
        <v>288</v>
      </c>
      <c r="E9" s="40" t="s">
        <v>18</v>
      </c>
      <c r="F9" s="30" t="s">
        <v>289</v>
      </c>
      <c r="G9" s="40" t="s">
        <v>18</v>
      </c>
      <c r="H9" s="30" t="s">
        <v>290</v>
      </c>
      <c r="I9" s="40" t="s">
        <v>18</v>
      </c>
      <c r="J9" s="50" t="s">
        <v>1287</v>
      </c>
      <c r="K9" s="30" t="s">
        <v>1293</v>
      </c>
      <c r="L9" s="69" t="s">
        <v>18</v>
      </c>
    </row>
    <row r="10" spans="1:14" x14ac:dyDescent="0.55000000000000004">
      <c r="A10" s="97"/>
      <c r="B10" s="30" t="s">
        <v>269</v>
      </c>
      <c r="C10" s="30" t="s">
        <v>270</v>
      </c>
      <c r="D10" s="30" t="s">
        <v>291</v>
      </c>
      <c r="E10" s="40" t="s">
        <v>18</v>
      </c>
      <c r="F10" s="30" t="s">
        <v>292</v>
      </c>
      <c r="G10" s="40" t="s">
        <v>18</v>
      </c>
      <c r="H10" s="30" t="s">
        <v>293</v>
      </c>
      <c r="I10" s="40" t="s">
        <v>18</v>
      </c>
      <c r="J10" s="30" t="s">
        <v>1288</v>
      </c>
      <c r="K10" s="30" t="s">
        <v>1294</v>
      </c>
      <c r="L10" s="40" t="s">
        <v>18</v>
      </c>
    </row>
    <row r="11" spans="1:14" ht="14.7" thickBot="1" x14ac:dyDescent="0.6">
      <c r="A11" s="125"/>
      <c r="B11" s="46" t="s">
        <v>274</v>
      </c>
      <c r="C11" s="46" t="s">
        <v>275</v>
      </c>
      <c r="D11" s="46" t="s">
        <v>294</v>
      </c>
      <c r="E11" s="48" t="s">
        <v>18</v>
      </c>
      <c r="F11" s="46" t="s">
        <v>295</v>
      </c>
      <c r="G11" s="48" t="s">
        <v>18</v>
      </c>
      <c r="H11" s="46" t="s">
        <v>296</v>
      </c>
      <c r="I11" s="48" t="s">
        <v>18</v>
      </c>
      <c r="J11" s="46" t="s">
        <v>1289</v>
      </c>
      <c r="K11" s="46" t="s">
        <v>1295</v>
      </c>
      <c r="L11" s="48" t="s">
        <v>18</v>
      </c>
    </row>
    <row r="12" spans="1:14" x14ac:dyDescent="0.55000000000000004">
      <c r="A12" s="127" t="s">
        <v>297</v>
      </c>
      <c r="B12" s="50" t="s">
        <v>264</v>
      </c>
      <c r="C12" s="51" t="s">
        <v>265</v>
      </c>
      <c r="D12" s="51" t="s">
        <v>298</v>
      </c>
      <c r="E12" s="69" t="s">
        <v>18</v>
      </c>
      <c r="F12" s="51" t="s">
        <v>299</v>
      </c>
      <c r="G12" s="69" t="s">
        <v>18</v>
      </c>
      <c r="H12" s="51" t="s">
        <v>300</v>
      </c>
      <c r="I12" s="69" t="s">
        <v>18</v>
      </c>
      <c r="J12" s="50" t="s">
        <v>1287</v>
      </c>
      <c r="K12" s="51" t="s">
        <v>1290</v>
      </c>
      <c r="L12" s="69" t="s">
        <v>18</v>
      </c>
    </row>
    <row r="13" spans="1:14" x14ac:dyDescent="0.55000000000000004">
      <c r="A13" s="97"/>
      <c r="B13" s="30" t="s">
        <v>269</v>
      </c>
      <c r="C13" s="30" t="s">
        <v>270</v>
      </c>
      <c r="D13" s="30" t="s">
        <v>301</v>
      </c>
      <c r="E13" s="40" t="s">
        <v>18</v>
      </c>
      <c r="F13" s="30" t="s">
        <v>302</v>
      </c>
      <c r="G13" s="40" t="s">
        <v>18</v>
      </c>
      <c r="H13" s="30" t="s">
        <v>303</v>
      </c>
      <c r="I13" s="40" t="s">
        <v>18</v>
      </c>
      <c r="J13" s="30" t="s">
        <v>1288</v>
      </c>
      <c r="K13" s="30" t="s">
        <v>1291</v>
      </c>
      <c r="L13" s="40" t="s">
        <v>18</v>
      </c>
    </row>
    <row r="14" spans="1:14" ht="14.7" thickBot="1" x14ac:dyDescent="0.6">
      <c r="A14" s="125"/>
      <c r="B14" s="46" t="s">
        <v>274</v>
      </c>
      <c r="C14" s="46" t="s">
        <v>275</v>
      </c>
      <c r="D14" s="46" t="s">
        <v>304</v>
      </c>
      <c r="E14" s="48" t="s">
        <v>18</v>
      </c>
      <c r="F14" s="46" t="s">
        <v>305</v>
      </c>
      <c r="G14" s="48" t="s">
        <v>18</v>
      </c>
      <c r="H14" s="46" t="s">
        <v>306</v>
      </c>
      <c r="I14" s="48" t="s">
        <v>18</v>
      </c>
      <c r="J14" s="46" t="s">
        <v>1289</v>
      </c>
      <c r="K14" s="46" t="s">
        <v>1292</v>
      </c>
      <c r="L14" s="48" t="s">
        <v>18</v>
      </c>
    </row>
    <row r="15" spans="1:14" x14ac:dyDescent="0.55000000000000004">
      <c r="A15" s="124" t="s">
        <v>126</v>
      </c>
      <c r="B15" s="41" t="s">
        <v>307</v>
      </c>
      <c r="C15" s="42" t="s">
        <v>265</v>
      </c>
      <c r="D15" s="42" t="s">
        <v>308</v>
      </c>
      <c r="E15" s="44" t="s">
        <v>18</v>
      </c>
      <c r="F15" s="42" t="s">
        <v>309</v>
      </c>
      <c r="G15" s="44" t="s">
        <v>18</v>
      </c>
      <c r="H15" s="42" t="s">
        <v>310</v>
      </c>
      <c r="I15" s="44" t="s">
        <v>18</v>
      </c>
      <c r="J15" s="41" t="s">
        <v>1262</v>
      </c>
      <c r="K15" s="42" t="s">
        <v>1265</v>
      </c>
      <c r="L15" s="44" t="s">
        <v>18</v>
      </c>
    </row>
    <row r="16" spans="1:14" x14ac:dyDescent="0.55000000000000004">
      <c r="A16" s="97"/>
      <c r="B16" s="30" t="s">
        <v>311</v>
      </c>
      <c r="C16" s="30" t="s">
        <v>270</v>
      </c>
      <c r="D16" s="30" t="s">
        <v>312</v>
      </c>
      <c r="E16" s="40" t="s">
        <v>18</v>
      </c>
      <c r="F16" s="30" t="s">
        <v>313</v>
      </c>
      <c r="G16" s="40" t="s">
        <v>18</v>
      </c>
      <c r="H16" s="30" t="s">
        <v>1268</v>
      </c>
      <c r="I16" s="40" t="s">
        <v>18</v>
      </c>
      <c r="J16" s="30" t="s">
        <v>1263</v>
      </c>
      <c r="K16" s="30" t="s">
        <v>1266</v>
      </c>
      <c r="L16" s="40" t="s">
        <v>18</v>
      </c>
    </row>
    <row r="17" spans="1:14" ht="14.7" thickBot="1" x14ac:dyDescent="0.6">
      <c r="A17" s="125"/>
      <c r="B17" s="46" t="s">
        <v>314</v>
      </c>
      <c r="C17" s="46" t="s">
        <v>275</v>
      </c>
      <c r="D17" s="46" t="s">
        <v>315</v>
      </c>
      <c r="E17" s="48" t="s">
        <v>18</v>
      </c>
      <c r="F17" s="46" t="s">
        <v>316</v>
      </c>
      <c r="G17" s="48" t="s">
        <v>18</v>
      </c>
      <c r="H17" s="46" t="s">
        <v>317</v>
      </c>
      <c r="I17" s="48" t="s">
        <v>18</v>
      </c>
      <c r="J17" s="46" t="s">
        <v>1264</v>
      </c>
      <c r="K17" s="46" t="s">
        <v>1267</v>
      </c>
      <c r="L17" s="48">
        <v>4.41E-12</v>
      </c>
    </row>
    <row r="18" spans="1:14" x14ac:dyDescent="0.55000000000000004">
      <c r="A18" s="124" t="s">
        <v>127</v>
      </c>
      <c r="B18" s="41" t="s">
        <v>318</v>
      </c>
      <c r="C18" s="42" t="s">
        <v>265</v>
      </c>
      <c r="D18" s="42" t="s">
        <v>319</v>
      </c>
      <c r="E18" s="44" t="s">
        <v>18</v>
      </c>
      <c r="F18" s="42" t="s">
        <v>320</v>
      </c>
      <c r="G18" s="44" t="s">
        <v>18</v>
      </c>
      <c r="H18" s="42" t="s">
        <v>321</v>
      </c>
      <c r="I18" s="44" t="s">
        <v>18</v>
      </c>
      <c r="J18" s="41" t="s">
        <v>1269</v>
      </c>
      <c r="K18" s="42" t="s">
        <v>1270</v>
      </c>
      <c r="L18" s="44">
        <v>2.8099999999999998E-16</v>
      </c>
    </row>
    <row r="19" spans="1:14" x14ac:dyDescent="0.55000000000000004">
      <c r="A19" s="97"/>
      <c r="B19" s="30" t="s">
        <v>322</v>
      </c>
      <c r="C19" s="30" t="s">
        <v>270</v>
      </c>
      <c r="D19" s="30" t="s">
        <v>323</v>
      </c>
      <c r="E19" s="40" t="s">
        <v>18</v>
      </c>
      <c r="F19" s="30" t="s">
        <v>324</v>
      </c>
      <c r="G19" s="40">
        <v>3.1173809336054599E-16</v>
      </c>
      <c r="H19" s="30" t="s">
        <v>325</v>
      </c>
      <c r="I19" s="40">
        <v>4.9971580979212202E-15</v>
      </c>
      <c r="J19" s="30" t="s">
        <v>1271</v>
      </c>
      <c r="K19" s="30" t="s">
        <v>1272</v>
      </c>
      <c r="L19" s="40">
        <v>1.8899999999999999E-9</v>
      </c>
    </row>
    <row r="20" spans="1:14" ht="14.7" thickBot="1" x14ac:dyDescent="0.6">
      <c r="A20" s="125"/>
      <c r="B20" s="46" t="s">
        <v>326</v>
      </c>
      <c r="C20" s="46" t="s">
        <v>275</v>
      </c>
      <c r="D20" s="46" t="s">
        <v>327</v>
      </c>
      <c r="E20" s="48" t="s">
        <v>18</v>
      </c>
      <c r="F20" s="46" t="s">
        <v>328</v>
      </c>
      <c r="G20" s="48">
        <v>4.9941701480996901E-13</v>
      </c>
      <c r="H20" s="46" t="s">
        <v>329</v>
      </c>
      <c r="I20" s="48">
        <v>2.1733243284892099E-15</v>
      </c>
      <c r="J20" s="46" t="s">
        <v>1274</v>
      </c>
      <c r="K20" s="46" t="s">
        <v>1273</v>
      </c>
      <c r="L20" s="48">
        <v>2.7499999999999998E-10</v>
      </c>
    </row>
    <row r="21" spans="1:14" x14ac:dyDescent="0.55000000000000004">
      <c r="A21" s="97" t="s">
        <v>128</v>
      </c>
      <c r="B21" s="38" t="s">
        <v>330</v>
      </c>
      <c r="C21" s="30" t="s">
        <v>265</v>
      </c>
      <c r="D21" s="30" t="s">
        <v>331</v>
      </c>
      <c r="E21" s="40" t="s">
        <v>18</v>
      </c>
      <c r="F21" s="30" t="s">
        <v>332</v>
      </c>
      <c r="G21" s="40" t="s">
        <v>18</v>
      </c>
      <c r="H21" s="30" t="s">
        <v>333</v>
      </c>
      <c r="I21" s="40" t="s">
        <v>18</v>
      </c>
      <c r="J21" s="38" t="s">
        <v>1276</v>
      </c>
      <c r="K21" s="30" t="s">
        <v>1275</v>
      </c>
      <c r="L21" s="44" t="s">
        <v>18</v>
      </c>
    </row>
    <row r="22" spans="1:14" x14ac:dyDescent="0.55000000000000004">
      <c r="A22" s="97"/>
      <c r="B22" s="30" t="s">
        <v>334</v>
      </c>
      <c r="C22" s="30" t="s">
        <v>270</v>
      </c>
      <c r="D22" s="30" t="s">
        <v>335</v>
      </c>
      <c r="E22" s="40" t="s">
        <v>18</v>
      </c>
      <c r="F22" s="30" t="s">
        <v>336</v>
      </c>
      <c r="G22" s="40" t="s">
        <v>18</v>
      </c>
      <c r="H22" s="30" t="s">
        <v>337</v>
      </c>
      <c r="I22" s="40">
        <v>3.2307499031172499E-13</v>
      </c>
      <c r="J22" s="30" t="s">
        <v>1277</v>
      </c>
      <c r="K22" s="30" t="s">
        <v>1279</v>
      </c>
      <c r="L22" s="40">
        <v>5.4098062004785705E-10</v>
      </c>
    </row>
    <row r="23" spans="1:14" ht="14.7" thickBot="1" x14ac:dyDescent="0.6">
      <c r="A23" s="125"/>
      <c r="B23" s="46" t="s">
        <v>338</v>
      </c>
      <c r="C23" s="46" t="s">
        <v>275</v>
      </c>
      <c r="D23" s="46" t="s">
        <v>339</v>
      </c>
      <c r="E23" s="48" t="s">
        <v>18</v>
      </c>
      <c r="F23" s="46" t="s">
        <v>340</v>
      </c>
      <c r="G23" s="48" t="s">
        <v>18</v>
      </c>
      <c r="H23" s="46" t="s">
        <v>341</v>
      </c>
      <c r="I23" s="48" t="s">
        <v>18</v>
      </c>
      <c r="J23" s="46" t="s">
        <v>1278</v>
      </c>
      <c r="K23" s="46" t="s">
        <v>1280</v>
      </c>
      <c r="L23" s="48">
        <v>3.4569529068280499E-10</v>
      </c>
    </row>
    <row r="24" spans="1:14" x14ac:dyDescent="0.55000000000000004">
      <c r="A24" s="97" t="s">
        <v>129</v>
      </c>
      <c r="B24" s="38" t="s">
        <v>342</v>
      </c>
      <c r="C24" s="30" t="s">
        <v>265</v>
      </c>
      <c r="D24" s="30" t="s">
        <v>343</v>
      </c>
      <c r="E24" s="40" t="s">
        <v>18</v>
      </c>
      <c r="F24" s="30" t="s">
        <v>344</v>
      </c>
      <c r="G24" s="40">
        <v>4.5761191003200498E-10</v>
      </c>
      <c r="H24" s="30" t="s">
        <v>345</v>
      </c>
      <c r="I24" s="40">
        <v>3.8508056525594402E-7</v>
      </c>
      <c r="J24" s="38" t="s">
        <v>1281</v>
      </c>
      <c r="K24" s="30" t="s">
        <v>1284</v>
      </c>
      <c r="L24" s="40">
        <v>6.1656825225958904E-4</v>
      </c>
    </row>
    <row r="25" spans="1:14" x14ac:dyDescent="0.55000000000000004">
      <c r="A25" s="97"/>
      <c r="B25" s="30" t="s">
        <v>346</v>
      </c>
      <c r="C25" s="30" t="s">
        <v>270</v>
      </c>
      <c r="D25" s="30" t="s">
        <v>347</v>
      </c>
      <c r="E25" s="40">
        <v>1.7285244466867399E-8</v>
      </c>
      <c r="F25" s="30" t="s">
        <v>348</v>
      </c>
      <c r="G25" s="40">
        <v>4.20981491289346E-5</v>
      </c>
      <c r="H25" s="30" t="s">
        <v>349</v>
      </c>
      <c r="I25" s="40">
        <v>1.5E-3</v>
      </c>
      <c r="J25" s="30" t="s">
        <v>1282</v>
      </c>
      <c r="K25" s="30" t="s">
        <v>1285</v>
      </c>
      <c r="L25" s="40">
        <v>1.3299999999999999E-2</v>
      </c>
    </row>
    <row r="26" spans="1:14" ht="14.7" thickBot="1" x14ac:dyDescent="0.6">
      <c r="A26" s="125"/>
      <c r="B26" s="46" t="s">
        <v>350</v>
      </c>
      <c r="C26" s="46" t="s">
        <v>275</v>
      </c>
      <c r="D26" s="46" t="s">
        <v>351</v>
      </c>
      <c r="E26" s="48">
        <v>2.0734810206370899E-12</v>
      </c>
      <c r="F26" s="46" t="s">
        <v>352</v>
      </c>
      <c r="G26" s="48">
        <v>1.40597255673878E-7</v>
      </c>
      <c r="H26" s="46" t="s">
        <v>353</v>
      </c>
      <c r="I26" s="48">
        <v>2.8115426734507098E-6</v>
      </c>
      <c r="J26" s="46" t="s">
        <v>1283</v>
      </c>
      <c r="K26" s="46" t="s">
        <v>1286</v>
      </c>
      <c r="L26" s="48">
        <v>5.4000000000000003E-3</v>
      </c>
    </row>
    <row r="32" spans="1:14" x14ac:dyDescent="0.55000000000000004">
      <c r="A32" s="28" t="s">
        <v>258</v>
      </c>
      <c r="B32" s="28" t="s">
        <v>124</v>
      </c>
      <c r="C32" s="27" t="s">
        <v>258</v>
      </c>
      <c r="D32" s="27" t="s">
        <v>124</v>
      </c>
      <c r="E32" s="27" t="s">
        <v>354</v>
      </c>
      <c r="F32" s="27" t="s">
        <v>355</v>
      </c>
      <c r="G32" s="27" t="s">
        <v>356</v>
      </c>
      <c r="H32" s="27" t="s">
        <v>357</v>
      </c>
      <c r="I32" s="27" t="s">
        <v>358</v>
      </c>
      <c r="J32" s="27" t="s">
        <v>359</v>
      </c>
      <c r="K32" s="27" t="s">
        <v>360</v>
      </c>
      <c r="L32" s="27" t="s">
        <v>361</v>
      </c>
      <c r="N32" s="87" t="s">
        <v>1578</v>
      </c>
    </row>
    <row r="33" spans="1:13" x14ac:dyDescent="0.55000000000000004">
      <c r="A33" s="126" t="s">
        <v>134</v>
      </c>
      <c r="B33" s="29" t="s">
        <v>265</v>
      </c>
      <c r="C33" s="30">
        <v>2.1</v>
      </c>
      <c r="D33" s="30">
        <v>4.875</v>
      </c>
      <c r="E33" s="30">
        <v>1.4390000000000001</v>
      </c>
      <c r="F33" s="30">
        <v>1.3120000000000001</v>
      </c>
      <c r="G33" s="30">
        <v>1.407</v>
      </c>
      <c r="H33" s="30">
        <v>4.218</v>
      </c>
      <c r="I33" s="30">
        <v>1.5369999999999999</v>
      </c>
      <c r="J33" s="30">
        <v>1.1459999999999999</v>
      </c>
      <c r="K33" s="30">
        <v>1.8720000000000001</v>
      </c>
      <c r="L33" s="30">
        <v>4.1760000000000002</v>
      </c>
      <c r="M33" s="5"/>
    </row>
    <row r="34" spans="1:13" x14ac:dyDescent="0.55000000000000004">
      <c r="A34" s="126"/>
      <c r="B34" s="29" t="s">
        <v>270</v>
      </c>
      <c r="C34" s="30">
        <v>1.161</v>
      </c>
      <c r="D34" s="52" t="s">
        <v>362</v>
      </c>
      <c r="E34" s="30">
        <v>1.298</v>
      </c>
      <c r="F34" s="30">
        <v>1.2490000000000001</v>
      </c>
      <c r="G34" s="30">
        <v>1.5409999999999999</v>
      </c>
      <c r="H34" s="30">
        <v>1.675</v>
      </c>
      <c r="I34" s="30">
        <v>1.2689999999999999</v>
      </c>
      <c r="J34" s="30">
        <v>2.254</v>
      </c>
      <c r="K34" s="30">
        <v>2.254</v>
      </c>
      <c r="L34" s="30">
        <v>2.754</v>
      </c>
      <c r="M34" s="5"/>
    </row>
    <row r="35" spans="1:13" x14ac:dyDescent="0.55000000000000004">
      <c r="A35" s="126"/>
      <c r="B35" s="29" t="s">
        <v>275</v>
      </c>
      <c r="C35" s="30">
        <v>1.3819999999999999</v>
      </c>
      <c r="D35" s="52" t="s">
        <v>362</v>
      </c>
      <c r="E35" s="30">
        <v>1.34</v>
      </c>
      <c r="F35" s="30">
        <v>1.399</v>
      </c>
      <c r="G35" s="30">
        <v>1.7050000000000001</v>
      </c>
      <c r="H35" s="30">
        <v>1.5109999999999999</v>
      </c>
      <c r="I35" s="30">
        <v>1.0720000000000001</v>
      </c>
      <c r="J35" s="30">
        <v>1.5660000000000001</v>
      </c>
      <c r="K35" s="30">
        <v>1.5660000000000001</v>
      </c>
      <c r="L35" s="30">
        <v>2.141</v>
      </c>
      <c r="M35" s="5"/>
    </row>
    <row r="36" spans="1:13" x14ac:dyDescent="0.55000000000000004">
      <c r="A36" s="126" t="s">
        <v>139</v>
      </c>
      <c r="B36" s="29" t="s">
        <v>265</v>
      </c>
      <c r="C36" s="30">
        <v>1.411</v>
      </c>
      <c r="D36" s="30">
        <v>4.7960000000000003</v>
      </c>
      <c r="E36" s="30">
        <v>1.323</v>
      </c>
      <c r="F36" s="30">
        <v>1.89</v>
      </c>
      <c r="G36" s="30">
        <v>1.3839999999999999</v>
      </c>
      <c r="H36" s="30">
        <v>4.2210000000000001</v>
      </c>
      <c r="I36" s="30">
        <v>1.54</v>
      </c>
      <c r="J36" s="30">
        <v>1.1479999999999999</v>
      </c>
      <c r="K36" s="30">
        <v>1.8759999999999999</v>
      </c>
      <c r="L36" s="30">
        <v>4.1539999999999999</v>
      </c>
      <c r="M36" s="5"/>
    </row>
    <row r="37" spans="1:13" x14ac:dyDescent="0.55000000000000004">
      <c r="A37" s="126"/>
      <c r="B37" s="29" t="s">
        <v>270</v>
      </c>
      <c r="C37" s="30">
        <v>1.2030000000000001</v>
      </c>
      <c r="D37" s="52" t="s">
        <v>362</v>
      </c>
      <c r="E37" s="30">
        <v>1.31</v>
      </c>
      <c r="F37" s="30">
        <v>1.262</v>
      </c>
      <c r="G37" s="30">
        <v>1.38</v>
      </c>
      <c r="H37" s="30">
        <v>1.542</v>
      </c>
      <c r="I37" s="30">
        <v>1.6759999999999999</v>
      </c>
      <c r="J37" s="30">
        <v>1.272</v>
      </c>
      <c r="K37" s="30">
        <v>2.254</v>
      </c>
      <c r="L37" s="30">
        <v>2.7189999999999999</v>
      </c>
      <c r="M37" s="5"/>
    </row>
    <row r="38" spans="1:13" x14ac:dyDescent="0.55000000000000004">
      <c r="A38" s="126"/>
      <c r="B38" s="29" t="s">
        <v>275</v>
      </c>
      <c r="C38" s="30">
        <v>1.4019999999999999</v>
      </c>
      <c r="D38" s="52" t="s">
        <v>362</v>
      </c>
      <c r="E38" s="30">
        <v>1.3440000000000001</v>
      </c>
      <c r="F38" s="30">
        <v>1.369</v>
      </c>
      <c r="G38" s="30">
        <v>1.724</v>
      </c>
      <c r="H38" s="30">
        <v>1.704</v>
      </c>
      <c r="I38" s="30">
        <v>1.5109999999999999</v>
      </c>
      <c r="J38" s="30">
        <v>1.0720000000000001</v>
      </c>
      <c r="K38" s="30">
        <v>1.5680000000000001</v>
      </c>
      <c r="L38" s="30">
        <v>2.1240000000000001</v>
      </c>
      <c r="M38" s="5"/>
    </row>
    <row r="39" spans="1:13" x14ac:dyDescent="0.55000000000000004">
      <c r="A39" s="126" t="s">
        <v>144</v>
      </c>
      <c r="B39" s="29" t="s">
        <v>265</v>
      </c>
      <c r="C39" s="30">
        <v>1.3089999999999999</v>
      </c>
      <c r="D39" s="30">
        <v>4.6289999999999996</v>
      </c>
      <c r="E39" s="30">
        <v>1.2949999999999999</v>
      </c>
      <c r="F39" s="30">
        <v>1.6970000000000001</v>
      </c>
      <c r="G39" s="30">
        <v>4.1529999999999996</v>
      </c>
      <c r="H39" s="30">
        <v>1.5209999999999999</v>
      </c>
      <c r="I39" s="30">
        <v>1.147</v>
      </c>
      <c r="J39" s="30">
        <v>1.889</v>
      </c>
      <c r="K39" s="30">
        <v>1.889</v>
      </c>
      <c r="L39" s="30">
        <v>4.1479999999999997</v>
      </c>
      <c r="M39" s="5"/>
    </row>
    <row r="40" spans="1:13" x14ac:dyDescent="0.55000000000000004">
      <c r="A40" s="126"/>
      <c r="B40" s="29" t="s">
        <v>270</v>
      </c>
      <c r="C40" s="30">
        <v>1.119</v>
      </c>
      <c r="D40" s="52" t="s">
        <v>362</v>
      </c>
      <c r="E40" s="30">
        <v>1.3129999999999999</v>
      </c>
      <c r="F40" s="30">
        <v>1.151</v>
      </c>
      <c r="G40" s="30">
        <v>1.387</v>
      </c>
      <c r="H40" s="30">
        <v>1.5349999999999999</v>
      </c>
      <c r="I40" s="30">
        <v>1.6619999999999999</v>
      </c>
      <c r="J40" s="30">
        <v>1.2669999999999999</v>
      </c>
      <c r="K40" s="30">
        <v>2.258</v>
      </c>
      <c r="L40" s="30">
        <v>2.77</v>
      </c>
      <c r="M40" s="5"/>
    </row>
    <row r="41" spans="1:13" x14ac:dyDescent="0.55000000000000004">
      <c r="A41" s="126"/>
      <c r="B41" s="29" t="s">
        <v>275</v>
      </c>
      <c r="C41" s="30">
        <v>1.085</v>
      </c>
      <c r="D41" s="52" t="s">
        <v>362</v>
      </c>
      <c r="E41" s="30">
        <v>1.2589999999999999</v>
      </c>
      <c r="F41" s="30">
        <v>1.2529999999999999</v>
      </c>
      <c r="G41" s="30">
        <v>1.696</v>
      </c>
      <c r="H41" s="30">
        <v>1.6990000000000001</v>
      </c>
      <c r="I41" s="30">
        <v>1.49</v>
      </c>
      <c r="J41" s="30">
        <v>1.0740000000000001</v>
      </c>
      <c r="K41" s="30">
        <v>1.5760000000000001</v>
      </c>
      <c r="L41" s="30">
        <v>2.1040000000000001</v>
      </c>
      <c r="M41" s="5"/>
    </row>
    <row r="42" spans="1:13" x14ac:dyDescent="0.55000000000000004">
      <c r="A42" s="126" t="s">
        <v>148</v>
      </c>
      <c r="B42" s="29" t="s">
        <v>265</v>
      </c>
      <c r="C42" s="30">
        <v>1.2709999999999999</v>
      </c>
      <c r="D42" s="30">
        <v>4.5380000000000003</v>
      </c>
      <c r="E42" s="30">
        <v>1.3129999999999999</v>
      </c>
      <c r="F42" s="30">
        <v>1.716</v>
      </c>
      <c r="G42" s="30">
        <v>1.3640000000000001</v>
      </c>
      <c r="H42" s="30">
        <v>4.1609999999999996</v>
      </c>
      <c r="I42" s="30">
        <v>1.5249999999999999</v>
      </c>
      <c r="J42" s="30">
        <v>1.149</v>
      </c>
      <c r="K42" s="30">
        <v>1.8979999999999999</v>
      </c>
      <c r="L42" s="30">
        <v>4.1630000000000003</v>
      </c>
      <c r="M42" s="5"/>
    </row>
    <row r="43" spans="1:13" x14ac:dyDescent="0.55000000000000004">
      <c r="A43" s="126"/>
      <c r="B43" s="29" t="s">
        <v>270</v>
      </c>
      <c r="C43" s="30">
        <v>1.147</v>
      </c>
      <c r="D43" s="52" t="s">
        <v>362</v>
      </c>
      <c r="E43" s="30">
        <v>1.3260000000000001</v>
      </c>
      <c r="F43" s="30">
        <v>1.1559999999999999</v>
      </c>
      <c r="G43" s="30">
        <v>1.3779999999999999</v>
      </c>
      <c r="H43" s="30">
        <v>1.5349999999999999</v>
      </c>
      <c r="I43" s="30">
        <v>1.665</v>
      </c>
      <c r="J43" s="30">
        <v>1.2689999999999999</v>
      </c>
      <c r="K43" s="30">
        <v>2.2599999999999998</v>
      </c>
      <c r="L43" s="30">
        <v>2.7589999999999999</v>
      </c>
    </row>
    <row r="44" spans="1:13" x14ac:dyDescent="0.55000000000000004">
      <c r="A44" s="126"/>
      <c r="B44" s="29" t="s">
        <v>275</v>
      </c>
      <c r="C44" s="30">
        <v>1.163</v>
      </c>
      <c r="D44" s="52" t="s">
        <v>362</v>
      </c>
      <c r="E44" s="30">
        <v>1.284</v>
      </c>
      <c r="F44" s="30">
        <v>1.256</v>
      </c>
      <c r="G44" s="30">
        <v>1.6819999999999999</v>
      </c>
      <c r="H44" s="30">
        <v>1.704</v>
      </c>
      <c r="I44" s="30">
        <v>1.492</v>
      </c>
      <c r="J44" s="30">
        <v>1.075</v>
      </c>
      <c r="K44" s="30">
        <v>1.589</v>
      </c>
      <c r="L44" s="30">
        <v>2.1</v>
      </c>
      <c r="M44" s="5"/>
    </row>
    <row r="45" spans="1:13" x14ac:dyDescent="0.55000000000000004">
      <c r="A45" s="126" t="s">
        <v>126</v>
      </c>
      <c r="B45" s="29" t="s">
        <v>265</v>
      </c>
      <c r="C45" s="30">
        <v>1.2450000000000001</v>
      </c>
      <c r="D45" s="30">
        <v>4.1529999999999996</v>
      </c>
      <c r="E45" s="30">
        <v>1.35</v>
      </c>
      <c r="F45" s="30">
        <v>1.6080000000000001</v>
      </c>
      <c r="G45" s="30">
        <v>1.4219999999999999</v>
      </c>
      <c r="H45" s="30">
        <v>4.0780000000000003</v>
      </c>
      <c r="I45" s="30">
        <v>1.5680000000000001</v>
      </c>
      <c r="J45" s="30">
        <v>1.159</v>
      </c>
      <c r="K45" s="30">
        <v>1.94</v>
      </c>
      <c r="L45" s="30">
        <v>4.1420000000000003</v>
      </c>
      <c r="M45" s="5"/>
    </row>
    <row r="46" spans="1:13" x14ac:dyDescent="0.55000000000000004">
      <c r="A46" s="126"/>
      <c r="B46" s="29" t="s">
        <v>270</v>
      </c>
      <c r="C46" s="30">
        <v>1.163</v>
      </c>
      <c r="D46" s="52" t="s">
        <v>362</v>
      </c>
      <c r="E46" s="30">
        <v>1.3779999999999999</v>
      </c>
      <c r="F46" s="30">
        <v>1.1990000000000001</v>
      </c>
      <c r="G46" s="30">
        <v>1.4039999999999999</v>
      </c>
      <c r="H46" s="30">
        <v>1.5529999999999999</v>
      </c>
      <c r="I46" s="30">
        <v>1.704</v>
      </c>
      <c r="J46" s="30">
        <v>1.2569999999999999</v>
      </c>
      <c r="K46" s="30">
        <v>2.2799999999999998</v>
      </c>
      <c r="L46" s="30">
        <v>2.7789999999999999</v>
      </c>
      <c r="M46" s="5"/>
    </row>
    <row r="47" spans="1:13" x14ac:dyDescent="0.55000000000000004">
      <c r="A47" s="126"/>
      <c r="B47" s="29" t="s">
        <v>275</v>
      </c>
      <c r="C47" s="30">
        <v>1.26</v>
      </c>
      <c r="D47" s="52" t="s">
        <v>362</v>
      </c>
      <c r="E47" s="30">
        <v>1.3169999999999999</v>
      </c>
      <c r="F47" s="30">
        <v>1.3260000000000001</v>
      </c>
      <c r="G47" s="30">
        <v>1.77</v>
      </c>
      <c r="H47" s="30">
        <v>1.7150000000000001</v>
      </c>
      <c r="I47" s="30">
        <v>1.522</v>
      </c>
      <c r="J47" s="30">
        <v>1.0740000000000001</v>
      </c>
      <c r="K47" s="30">
        <v>1.595</v>
      </c>
      <c r="L47" s="30">
        <v>2.1549999999999998</v>
      </c>
      <c r="M47" s="5"/>
    </row>
    <row r="48" spans="1:13" x14ac:dyDescent="0.55000000000000004">
      <c r="A48" s="126" t="s">
        <v>127</v>
      </c>
      <c r="B48" s="29" t="s">
        <v>265</v>
      </c>
      <c r="C48" s="30">
        <v>1.2789999999999999</v>
      </c>
      <c r="D48" s="30">
        <v>4.3140000000000001</v>
      </c>
      <c r="E48" s="30">
        <v>1.3</v>
      </c>
      <c r="F48" s="30">
        <v>1.2889999999999999</v>
      </c>
      <c r="G48" s="30">
        <v>1.3959999999999999</v>
      </c>
      <c r="H48" s="30">
        <v>4.1379999999999999</v>
      </c>
      <c r="I48" s="30">
        <v>1.5549999999999999</v>
      </c>
      <c r="J48" s="30">
        <v>1.1579999999999999</v>
      </c>
      <c r="K48" s="30">
        <v>1.8779999999999999</v>
      </c>
      <c r="L48" s="30">
        <v>4.125</v>
      </c>
      <c r="M48" s="5"/>
    </row>
    <row r="49" spans="1:13" x14ac:dyDescent="0.55000000000000004">
      <c r="A49" s="126"/>
      <c r="B49" s="29" t="s">
        <v>270</v>
      </c>
      <c r="C49" s="30">
        <v>1.1060000000000001</v>
      </c>
      <c r="D49" s="52" t="s">
        <v>362</v>
      </c>
      <c r="E49" s="30">
        <v>1.29</v>
      </c>
      <c r="F49" s="30">
        <v>1.1719999999999999</v>
      </c>
      <c r="G49" s="30">
        <v>1.3879999999999999</v>
      </c>
      <c r="H49" s="30">
        <v>1.542</v>
      </c>
      <c r="I49" s="30">
        <v>1.7190000000000001</v>
      </c>
      <c r="J49" s="30">
        <v>1.2889999999999999</v>
      </c>
      <c r="K49" s="30">
        <v>2.2759999999999998</v>
      </c>
      <c r="L49" s="30">
        <v>2.7890000000000001</v>
      </c>
      <c r="M49" s="5"/>
    </row>
    <row r="50" spans="1:13" x14ac:dyDescent="0.55000000000000004">
      <c r="A50" s="126"/>
      <c r="B50" s="29" t="s">
        <v>275</v>
      </c>
      <c r="C50" s="30">
        <v>1.194</v>
      </c>
      <c r="D50" s="52" t="s">
        <v>362</v>
      </c>
      <c r="E50" s="30">
        <v>1.32</v>
      </c>
      <c r="F50" s="30">
        <v>1.2490000000000001</v>
      </c>
      <c r="G50" s="30">
        <v>1.732</v>
      </c>
      <c r="H50" s="30">
        <v>1.712</v>
      </c>
      <c r="I50" s="30">
        <v>1.508</v>
      </c>
      <c r="J50" s="30">
        <v>1.071</v>
      </c>
      <c r="K50" s="30">
        <v>1.5189999999999999</v>
      </c>
      <c r="L50" s="30">
        <v>2.149</v>
      </c>
    </row>
    <row r="51" spans="1:13" x14ac:dyDescent="0.55000000000000004">
      <c r="A51" s="126" t="s">
        <v>128</v>
      </c>
      <c r="B51" s="29" t="s">
        <v>265</v>
      </c>
      <c r="C51" s="30">
        <v>1.3180000000000001</v>
      </c>
      <c r="D51" s="30">
        <v>4.53</v>
      </c>
      <c r="E51" s="30">
        <v>1.3</v>
      </c>
      <c r="F51" s="30">
        <v>1.68</v>
      </c>
      <c r="G51" s="30">
        <v>1.3939999999999999</v>
      </c>
      <c r="H51" s="30">
        <v>4.12</v>
      </c>
      <c r="I51" s="30">
        <v>1.5609999999999999</v>
      </c>
      <c r="J51" s="30">
        <v>1.1639999999999999</v>
      </c>
      <c r="K51" s="30">
        <v>1.87</v>
      </c>
      <c r="L51" s="30">
        <v>4.173</v>
      </c>
      <c r="M51" s="5"/>
    </row>
    <row r="52" spans="1:13" x14ac:dyDescent="0.55000000000000004">
      <c r="A52" s="126"/>
      <c r="B52" s="29" t="s">
        <v>270</v>
      </c>
      <c r="C52" s="30">
        <v>1.1140000000000001</v>
      </c>
      <c r="D52" s="52" t="s">
        <v>362</v>
      </c>
      <c r="E52" s="30">
        <v>1.2889999999999999</v>
      </c>
      <c r="F52" s="30">
        <v>1.2070000000000001</v>
      </c>
      <c r="G52" s="30">
        <v>1.3939999999999999</v>
      </c>
      <c r="H52" s="30">
        <v>1.5429999999999999</v>
      </c>
      <c r="I52" s="30">
        <v>1.72</v>
      </c>
      <c r="J52" s="30">
        <v>1.286</v>
      </c>
      <c r="K52" s="30">
        <v>2.2559999999999998</v>
      </c>
      <c r="L52" s="30">
        <v>2.7930000000000001</v>
      </c>
      <c r="M52" s="5"/>
    </row>
    <row r="53" spans="1:13" x14ac:dyDescent="0.55000000000000004">
      <c r="A53" s="126"/>
      <c r="B53" s="29" t="s">
        <v>275</v>
      </c>
      <c r="C53" s="30">
        <v>1.3109999999999999</v>
      </c>
      <c r="D53" s="52" t="s">
        <v>362</v>
      </c>
      <c r="E53" s="30">
        <v>1.325</v>
      </c>
      <c r="F53" s="30">
        <v>1.365</v>
      </c>
      <c r="G53" s="30">
        <v>1.7629999999999999</v>
      </c>
      <c r="H53" s="30">
        <v>1.6579999999999999</v>
      </c>
      <c r="I53" s="30">
        <v>1.5149999999999999</v>
      </c>
      <c r="J53" s="30">
        <v>1.0669999999999999</v>
      </c>
      <c r="K53" s="30">
        <v>1.534</v>
      </c>
      <c r="L53" s="30">
        <v>2.1909999999999998</v>
      </c>
      <c r="M53" s="5"/>
    </row>
    <row r="54" spans="1:13" x14ac:dyDescent="0.55000000000000004">
      <c r="A54" s="126" t="s">
        <v>129</v>
      </c>
      <c r="B54" s="29" t="s">
        <v>265</v>
      </c>
      <c r="C54" s="30">
        <v>1.2689999999999999</v>
      </c>
      <c r="D54" s="30">
        <v>4.282</v>
      </c>
      <c r="E54" s="30">
        <v>1.31</v>
      </c>
      <c r="F54" s="30">
        <v>1.3779999999999999</v>
      </c>
      <c r="G54" s="30">
        <v>1.417</v>
      </c>
      <c r="H54" s="30">
        <v>4.0730000000000004</v>
      </c>
      <c r="I54" s="30">
        <v>1.5249999999999999</v>
      </c>
      <c r="J54" s="30">
        <v>1.1679999999999999</v>
      </c>
      <c r="K54" s="30">
        <v>1.8480000000000001</v>
      </c>
      <c r="L54" s="30">
        <v>4.1379999999999999</v>
      </c>
      <c r="M54" s="5"/>
    </row>
    <row r="55" spans="1:13" x14ac:dyDescent="0.55000000000000004">
      <c r="A55" s="126"/>
      <c r="B55" s="29" t="s">
        <v>270</v>
      </c>
      <c r="C55" s="30">
        <v>1.147</v>
      </c>
      <c r="D55" s="52" t="s">
        <v>362</v>
      </c>
      <c r="E55" s="30">
        <v>1.3089999999999999</v>
      </c>
      <c r="F55" s="30">
        <v>1.2070000000000001</v>
      </c>
      <c r="G55" s="30">
        <v>1.383</v>
      </c>
      <c r="H55" s="30">
        <v>1.5109999999999999</v>
      </c>
      <c r="I55" s="30">
        <v>1.6519999999999999</v>
      </c>
      <c r="J55" s="30">
        <v>1.292</v>
      </c>
      <c r="K55" s="30">
        <v>2.2290000000000001</v>
      </c>
      <c r="L55" s="30">
        <v>2.7</v>
      </c>
      <c r="M55" s="5"/>
    </row>
    <row r="56" spans="1:13" x14ac:dyDescent="0.55000000000000004">
      <c r="A56" s="126"/>
      <c r="B56" s="29" t="s">
        <v>275</v>
      </c>
      <c r="C56" s="30">
        <v>1.284</v>
      </c>
      <c r="D56" s="52" t="s">
        <v>362</v>
      </c>
      <c r="E56" s="30">
        <v>1.3149999999999999</v>
      </c>
      <c r="F56" s="30">
        <v>1.373</v>
      </c>
      <c r="G56" s="30">
        <v>1.7729999999999999</v>
      </c>
      <c r="H56" s="30">
        <v>1.6850000000000001</v>
      </c>
      <c r="I56" s="30">
        <v>1.498</v>
      </c>
      <c r="J56" s="30">
        <v>1.0680000000000001</v>
      </c>
      <c r="K56" s="30">
        <v>1.512</v>
      </c>
      <c r="L56" s="30">
        <v>2.13</v>
      </c>
    </row>
  </sheetData>
  <mergeCells count="24">
    <mergeCell ref="J1:J2"/>
    <mergeCell ref="K1:L1"/>
    <mergeCell ref="A51:A53"/>
    <mergeCell ref="A54:A56"/>
    <mergeCell ref="A45:A47"/>
    <mergeCell ref="A48:A50"/>
    <mergeCell ref="A39:A41"/>
    <mergeCell ref="A42:A44"/>
    <mergeCell ref="A33:A35"/>
    <mergeCell ref="A36:A38"/>
    <mergeCell ref="A21:A23"/>
    <mergeCell ref="A24:A26"/>
    <mergeCell ref="A3:A5"/>
    <mergeCell ref="A6:A8"/>
    <mergeCell ref="A9:A11"/>
    <mergeCell ref="A12:A14"/>
    <mergeCell ref="A15:A17"/>
    <mergeCell ref="A18:A20"/>
    <mergeCell ref="D1:E1"/>
    <mergeCell ref="F1:G1"/>
    <mergeCell ref="H1:I1"/>
    <mergeCell ref="A1:A2"/>
    <mergeCell ref="B1:B2"/>
    <mergeCell ref="C1:C2"/>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453FC-A1CE-4802-B33D-CC64A4AF56BA}">
  <dimension ref="A1:M27"/>
  <sheetViews>
    <sheetView zoomScale="68" workbookViewId="0">
      <selection activeCell="F36" sqref="F36"/>
    </sheetView>
  </sheetViews>
  <sheetFormatPr defaultRowHeight="14.4" x14ac:dyDescent="0.55000000000000004"/>
  <cols>
    <col min="1" max="2" width="21.578125" customWidth="1"/>
    <col min="3" max="3" width="7.26171875" customWidth="1"/>
    <col min="4" max="4" width="21.578125" customWidth="1"/>
    <col min="5" max="5" width="19.41796875" customWidth="1"/>
    <col min="7" max="7" width="20" customWidth="1"/>
    <col min="8" max="8" width="21.41796875" customWidth="1"/>
    <col min="9" max="9" width="18.41796875" customWidth="1"/>
    <col min="10" max="10" width="32.83984375" customWidth="1"/>
  </cols>
  <sheetData>
    <row r="1" spans="1:13" ht="14.5" customHeight="1" x14ac:dyDescent="0.55000000000000004">
      <c r="A1" s="97" t="s">
        <v>1587</v>
      </c>
      <c r="B1" s="131" t="s">
        <v>1586</v>
      </c>
      <c r="C1" s="97" t="s">
        <v>124</v>
      </c>
      <c r="D1" s="134" t="s">
        <v>363</v>
      </c>
      <c r="E1" s="135"/>
      <c r="F1" s="136"/>
      <c r="G1" s="134" t="s">
        <v>364</v>
      </c>
      <c r="H1" s="135"/>
      <c r="I1" s="136"/>
      <c r="J1" s="132" t="s">
        <v>365</v>
      </c>
      <c r="M1" s="3" t="s">
        <v>1579</v>
      </c>
    </row>
    <row r="2" spans="1:13" x14ac:dyDescent="0.55000000000000004">
      <c r="A2" s="131"/>
      <c r="B2" s="124"/>
      <c r="C2" s="131"/>
      <c r="D2" s="27" t="s">
        <v>259</v>
      </c>
      <c r="E2" s="49" t="s">
        <v>263</v>
      </c>
      <c r="F2" s="49" t="s">
        <v>132</v>
      </c>
      <c r="G2" s="27" t="s">
        <v>259</v>
      </c>
      <c r="H2" s="49" t="s">
        <v>263</v>
      </c>
      <c r="I2" s="49" t="s">
        <v>132</v>
      </c>
      <c r="J2" s="133"/>
    </row>
    <row r="3" spans="1:13" x14ac:dyDescent="0.55000000000000004">
      <c r="A3" s="97" t="s">
        <v>134</v>
      </c>
      <c r="B3" s="131" t="s">
        <v>1588</v>
      </c>
      <c r="C3" s="30" t="s">
        <v>265</v>
      </c>
      <c r="D3" s="38" t="s">
        <v>264</v>
      </c>
      <c r="E3" s="30" t="s">
        <v>267</v>
      </c>
      <c r="F3" s="30" t="s">
        <v>18</v>
      </c>
      <c r="G3" s="30" t="s">
        <v>366</v>
      </c>
      <c r="H3" s="30" t="s">
        <v>367</v>
      </c>
      <c r="I3" s="30" t="s">
        <v>18</v>
      </c>
      <c r="J3" s="52">
        <v>-1.7999999999999999E-2</v>
      </c>
    </row>
    <row r="4" spans="1:13" x14ac:dyDescent="0.55000000000000004">
      <c r="A4" s="97"/>
      <c r="B4" s="129"/>
      <c r="C4" s="30" t="s">
        <v>270</v>
      </c>
      <c r="D4" s="30" t="s">
        <v>269</v>
      </c>
      <c r="E4" s="30" t="s">
        <v>272</v>
      </c>
      <c r="F4" s="30" t="s">
        <v>18</v>
      </c>
      <c r="G4" s="30" t="s">
        <v>368</v>
      </c>
      <c r="H4" s="30" t="s">
        <v>369</v>
      </c>
      <c r="I4" s="30" t="s">
        <v>18</v>
      </c>
      <c r="J4" s="52">
        <v>-6.0000000000000001E-3</v>
      </c>
    </row>
    <row r="5" spans="1:13" ht="14.7" thickBot="1" x14ac:dyDescent="0.6">
      <c r="A5" s="125"/>
      <c r="B5" s="130"/>
      <c r="C5" s="46" t="s">
        <v>275</v>
      </c>
      <c r="D5" s="46" t="s">
        <v>274</v>
      </c>
      <c r="E5" s="46" t="s">
        <v>370</v>
      </c>
      <c r="F5" s="46" t="s">
        <v>18</v>
      </c>
      <c r="G5" s="46" t="s">
        <v>371</v>
      </c>
      <c r="H5" s="46" t="s">
        <v>372</v>
      </c>
      <c r="I5" s="48">
        <v>1.8327269999999999E-14</v>
      </c>
      <c r="J5" s="58">
        <v>-4.2000000000000003E-2</v>
      </c>
    </row>
    <row r="6" spans="1:13" x14ac:dyDescent="0.55000000000000004">
      <c r="A6" s="124" t="s">
        <v>139</v>
      </c>
      <c r="B6" s="131" t="s">
        <v>1588</v>
      </c>
      <c r="C6" s="42" t="s">
        <v>265</v>
      </c>
      <c r="D6" s="41" t="s">
        <v>264</v>
      </c>
      <c r="E6" s="42" t="s">
        <v>280</v>
      </c>
      <c r="F6" s="44">
        <v>3.3129999822575201E-10</v>
      </c>
      <c r="G6" s="30" t="s">
        <v>366</v>
      </c>
      <c r="H6" s="42" t="s">
        <v>373</v>
      </c>
      <c r="I6" s="44">
        <v>3.2000030000000001E-6</v>
      </c>
      <c r="J6" s="42">
        <v>3.5999999999999997E-2</v>
      </c>
    </row>
    <row r="7" spans="1:13" x14ac:dyDescent="0.55000000000000004">
      <c r="A7" s="97"/>
      <c r="B7" s="129"/>
      <c r="C7" s="30" t="s">
        <v>270</v>
      </c>
      <c r="D7" s="30" t="s">
        <v>269</v>
      </c>
      <c r="E7" s="30" t="s">
        <v>283</v>
      </c>
      <c r="F7" s="40">
        <v>1.1E-4</v>
      </c>
      <c r="G7" s="30" t="s">
        <v>368</v>
      </c>
      <c r="H7" s="30" t="s">
        <v>374</v>
      </c>
      <c r="I7" s="40">
        <v>8.469072E-4</v>
      </c>
      <c r="J7" s="30">
        <v>8.0000000000000002E-3</v>
      </c>
    </row>
    <row r="8" spans="1:13" ht="14.7" thickBot="1" x14ac:dyDescent="0.6">
      <c r="A8" s="125"/>
      <c r="B8" s="130"/>
      <c r="C8" s="46" t="s">
        <v>275</v>
      </c>
      <c r="D8" s="46" t="s">
        <v>274</v>
      </c>
      <c r="E8" s="46" t="s">
        <v>286</v>
      </c>
      <c r="F8" s="48">
        <v>3.7274865951203601E-8</v>
      </c>
      <c r="G8" s="46" t="s">
        <v>371</v>
      </c>
      <c r="H8" s="46" t="s">
        <v>375</v>
      </c>
      <c r="I8" s="48">
        <v>5.5500060000000003E-4</v>
      </c>
      <c r="J8" s="46">
        <v>9.5000000000000001E-2</v>
      </c>
    </row>
    <row r="9" spans="1:13" x14ac:dyDescent="0.55000000000000004">
      <c r="A9" s="97" t="s">
        <v>144</v>
      </c>
      <c r="B9" s="131" t="s">
        <v>1588</v>
      </c>
      <c r="C9" s="30" t="s">
        <v>265</v>
      </c>
      <c r="D9" s="38" t="s">
        <v>264</v>
      </c>
      <c r="E9" s="30" t="s">
        <v>289</v>
      </c>
      <c r="F9" s="30" t="s">
        <v>18</v>
      </c>
      <c r="G9" s="30" t="s">
        <v>366</v>
      </c>
      <c r="H9" s="30" t="s">
        <v>376</v>
      </c>
      <c r="I9" s="30" t="s">
        <v>18</v>
      </c>
      <c r="J9" s="52">
        <v>-1E-3</v>
      </c>
    </row>
    <row r="10" spans="1:13" x14ac:dyDescent="0.55000000000000004">
      <c r="A10" s="97"/>
      <c r="B10" s="129"/>
      <c r="C10" s="30" t="s">
        <v>270</v>
      </c>
      <c r="D10" s="30" t="s">
        <v>269</v>
      </c>
      <c r="E10" s="30" t="s">
        <v>292</v>
      </c>
      <c r="F10" s="30" t="s">
        <v>18</v>
      </c>
      <c r="G10" s="30" t="s">
        <v>368</v>
      </c>
      <c r="H10" s="30" t="s">
        <v>377</v>
      </c>
      <c r="I10" s="30" t="s">
        <v>18</v>
      </c>
      <c r="J10" s="30">
        <v>4.0000000000000001E-3</v>
      </c>
    </row>
    <row r="11" spans="1:13" ht="14.7" thickBot="1" x14ac:dyDescent="0.6">
      <c r="A11" s="125"/>
      <c r="B11" s="130"/>
      <c r="C11" s="46" t="s">
        <v>275</v>
      </c>
      <c r="D11" s="46" t="s">
        <v>274</v>
      </c>
      <c r="E11" s="46" t="s">
        <v>378</v>
      </c>
      <c r="F11" s="46" t="s">
        <v>18</v>
      </c>
      <c r="G11" s="46" t="s">
        <v>371</v>
      </c>
      <c r="H11" s="46" t="s">
        <v>379</v>
      </c>
      <c r="I11" s="46" t="s">
        <v>18</v>
      </c>
      <c r="J11" s="58">
        <v>-5.0000000000000001E-3</v>
      </c>
    </row>
    <row r="12" spans="1:13" x14ac:dyDescent="0.55000000000000004">
      <c r="A12" s="127" t="s">
        <v>297</v>
      </c>
      <c r="B12" s="131" t="s">
        <v>1588</v>
      </c>
      <c r="C12" s="51" t="s">
        <v>265</v>
      </c>
      <c r="D12" s="50" t="s">
        <v>264</v>
      </c>
      <c r="E12" s="51" t="s">
        <v>299</v>
      </c>
      <c r="F12" s="51" t="s">
        <v>18</v>
      </c>
      <c r="G12" s="30" t="s">
        <v>366</v>
      </c>
      <c r="H12" s="51" t="s">
        <v>380</v>
      </c>
      <c r="I12" s="42" t="s">
        <v>18</v>
      </c>
      <c r="J12" s="59">
        <v>-1.4E-2</v>
      </c>
    </row>
    <row r="13" spans="1:13" x14ac:dyDescent="0.55000000000000004">
      <c r="A13" s="97"/>
      <c r="B13" s="129"/>
      <c r="C13" s="30" t="s">
        <v>270</v>
      </c>
      <c r="D13" s="30" t="s">
        <v>269</v>
      </c>
      <c r="E13" s="30" t="s">
        <v>302</v>
      </c>
      <c r="F13" s="30" t="s">
        <v>18</v>
      </c>
      <c r="G13" s="30" t="s">
        <v>368</v>
      </c>
      <c r="H13" s="30" t="s">
        <v>381</v>
      </c>
      <c r="I13" s="30" t="s">
        <v>18</v>
      </c>
      <c r="J13" s="52">
        <v>2E-3</v>
      </c>
    </row>
    <row r="14" spans="1:13" ht="14.7" thickBot="1" x14ac:dyDescent="0.6">
      <c r="A14" s="125"/>
      <c r="B14" s="130"/>
      <c r="C14" s="46" t="s">
        <v>275</v>
      </c>
      <c r="D14" s="46" t="s">
        <v>274</v>
      </c>
      <c r="E14" s="46" t="s">
        <v>305</v>
      </c>
      <c r="F14" s="46" t="s">
        <v>18</v>
      </c>
      <c r="G14" s="46" t="s">
        <v>371</v>
      </c>
      <c r="H14" s="46" t="s">
        <v>382</v>
      </c>
      <c r="I14" s="46" t="s">
        <v>18</v>
      </c>
      <c r="J14" s="58">
        <v>-0.04</v>
      </c>
    </row>
    <row r="15" spans="1:13" x14ac:dyDescent="0.55000000000000004">
      <c r="A15" s="124" t="s">
        <v>126</v>
      </c>
      <c r="B15" s="128" t="s">
        <v>1589</v>
      </c>
      <c r="C15" s="42" t="s">
        <v>265</v>
      </c>
      <c r="D15" s="41" t="s">
        <v>307</v>
      </c>
      <c r="E15" s="42" t="s">
        <v>309</v>
      </c>
      <c r="F15" s="42" t="s">
        <v>18</v>
      </c>
      <c r="G15" s="42" t="s">
        <v>383</v>
      </c>
      <c r="H15" s="42" t="s">
        <v>384</v>
      </c>
      <c r="I15" s="42" t="s">
        <v>18</v>
      </c>
      <c r="J15" s="60">
        <v>-1.2999999999999999E-2</v>
      </c>
    </row>
    <row r="16" spans="1:13" x14ac:dyDescent="0.55000000000000004">
      <c r="A16" s="97"/>
      <c r="B16" s="129"/>
      <c r="C16" s="30" t="s">
        <v>270</v>
      </c>
      <c r="D16" s="30" t="s">
        <v>311</v>
      </c>
      <c r="E16" s="30" t="s">
        <v>313</v>
      </c>
      <c r="F16" s="30" t="s">
        <v>18</v>
      </c>
      <c r="G16" s="30" t="s">
        <v>385</v>
      </c>
      <c r="H16" s="30" t="s">
        <v>386</v>
      </c>
      <c r="I16" s="30" t="s">
        <v>18</v>
      </c>
      <c r="J16" s="30">
        <v>1.7000000000000001E-2</v>
      </c>
    </row>
    <row r="17" spans="1:10" ht="14.7" thickBot="1" x14ac:dyDescent="0.6">
      <c r="A17" s="125"/>
      <c r="B17" s="130"/>
      <c r="C17" s="46" t="s">
        <v>275</v>
      </c>
      <c r="D17" s="46" t="s">
        <v>314</v>
      </c>
      <c r="E17" s="46" t="s">
        <v>316</v>
      </c>
      <c r="F17" s="46" t="s">
        <v>18</v>
      </c>
      <c r="G17" s="46" t="s">
        <v>387</v>
      </c>
      <c r="H17" s="46" t="s">
        <v>388</v>
      </c>
      <c r="I17" s="46" t="s">
        <v>18</v>
      </c>
      <c r="J17" s="58">
        <v>-7.8E-2</v>
      </c>
    </row>
    <row r="18" spans="1:10" x14ac:dyDescent="0.55000000000000004">
      <c r="A18" s="124" t="s">
        <v>127</v>
      </c>
      <c r="B18" s="128" t="s">
        <v>1590</v>
      </c>
      <c r="C18" s="42" t="s">
        <v>265</v>
      </c>
      <c r="D18" s="41" t="s">
        <v>318</v>
      </c>
      <c r="E18" s="42" t="s">
        <v>320</v>
      </c>
      <c r="F18" s="42" t="s">
        <v>18</v>
      </c>
      <c r="G18" s="42" t="s">
        <v>389</v>
      </c>
      <c r="H18" s="42" t="s">
        <v>390</v>
      </c>
      <c r="I18" s="44">
        <v>2.0524049999999999E-16</v>
      </c>
      <c r="J18" s="42">
        <v>-2.8000000000000001E-2</v>
      </c>
    </row>
    <row r="19" spans="1:10" x14ac:dyDescent="0.55000000000000004">
      <c r="A19" s="97"/>
      <c r="B19" s="129"/>
      <c r="C19" s="30" t="s">
        <v>270</v>
      </c>
      <c r="D19" s="30" t="s">
        <v>322</v>
      </c>
      <c r="E19" s="30" t="s">
        <v>324</v>
      </c>
      <c r="F19" s="40">
        <v>3.1173809336054599E-16</v>
      </c>
      <c r="G19" s="40" t="s">
        <v>391</v>
      </c>
      <c r="H19" s="30" t="s">
        <v>392</v>
      </c>
      <c r="I19" s="40">
        <v>2.772083E-11</v>
      </c>
      <c r="J19" s="30">
        <v>-2.9000000000000001E-2</v>
      </c>
    </row>
    <row r="20" spans="1:10" ht="14.7" thickBot="1" x14ac:dyDescent="0.6">
      <c r="A20" s="125"/>
      <c r="B20" s="130"/>
      <c r="C20" s="46" t="s">
        <v>275</v>
      </c>
      <c r="D20" s="46" t="s">
        <v>326</v>
      </c>
      <c r="E20" s="46" t="s">
        <v>328</v>
      </c>
      <c r="F20" s="48">
        <v>4.9941701480996901E-13</v>
      </c>
      <c r="G20" s="48" t="s">
        <v>393</v>
      </c>
      <c r="H20" s="46" t="s">
        <v>394</v>
      </c>
      <c r="I20" s="48">
        <v>2.3565549999999999E-7</v>
      </c>
      <c r="J20" s="46">
        <v>-5.1999999999999998E-2</v>
      </c>
    </row>
    <row r="21" spans="1:10" x14ac:dyDescent="0.55000000000000004">
      <c r="A21" s="97" t="s">
        <v>128</v>
      </c>
      <c r="B21" s="128" t="s">
        <v>1591</v>
      </c>
      <c r="C21" s="30" t="s">
        <v>265</v>
      </c>
      <c r="D21" s="38" t="s">
        <v>330</v>
      </c>
      <c r="E21" s="30" t="s">
        <v>332</v>
      </c>
      <c r="F21" s="30" t="s">
        <v>18</v>
      </c>
      <c r="G21" s="30" t="s">
        <v>395</v>
      </c>
      <c r="H21" s="30" t="s">
        <v>396</v>
      </c>
      <c r="I21" s="30" t="s">
        <v>18</v>
      </c>
      <c r="J21" s="30">
        <v>-1.7999999999999999E-2</v>
      </c>
    </row>
    <row r="22" spans="1:10" x14ac:dyDescent="0.55000000000000004">
      <c r="A22" s="97"/>
      <c r="B22" s="129"/>
      <c r="C22" s="30" t="s">
        <v>270</v>
      </c>
      <c r="D22" s="30" t="s">
        <v>334</v>
      </c>
      <c r="E22" s="30" t="s">
        <v>336</v>
      </c>
      <c r="F22" s="30" t="s">
        <v>18</v>
      </c>
      <c r="G22" s="30" t="s">
        <v>397</v>
      </c>
      <c r="H22" s="30" t="s">
        <v>398</v>
      </c>
      <c r="I22" s="40">
        <v>2.746737E-13</v>
      </c>
      <c r="J22" s="30">
        <v>-0.01</v>
      </c>
    </row>
    <row r="23" spans="1:10" ht="14.7" thickBot="1" x14ac:dyDescent="0.6">
      <c r="A23" s="125"/>
      <c r="B23" s="130"/>
      <c r="C23" s="46" t="s">
        <v>275</v>
      </c>
      <c r="D23" s="46" t="s">
        <v>338</v>
      </c>
      <c r="E23" s="46" t="s">
        <v>340</v>
      </c>
      <c r="F23" s="46" t="s">
        <v>18</v>
      </c>
      <c r="G23" s="46" t="s">
        <v>399</v>
      </c>
      <c r="H23" s="46" t="s">
        <v>400</v>
      </c>
      <c r="I23" s="48">
        <v>3.7503989999999998E-13</v>
      </c>
      <c r="J23" s="46">
        <v>-3.2000000000000001E-2</v>
      </c>
    </row>
    <row r="24" spans="1:10" x14ac:dyDescent="0.55000000000000004">
      <c r="A24" s="97" t="s">
        <v>129</v>
      </c>
      <c r="B24" s="128" t="s">
        <v>1592</v>
      </c>
      <c r="C24" s="30" t="s">
        <v>265</v>
      </c>
      <c r="D24" s="38" t="s">
        <v>342</v>
      </c>
      <c r="E24" s="30" t="s">
        <v>344</v>
      </c>
      <c r="F24" s="40">
        <v>4.5761191003200498E-10</v>
      </c>
      <c r="G24" s="40" t="s">
        <v>401</v>
      </c>
      <c r="H24" s="30" t="s">
        <v>402</v>
      </c>
      <c r="I24" s="40">
        <v>3.060186E-6</v>
      </c>
      <c r="J24" s="30">
        <v>-1.4E-2</v>
      </c>
    </row>
    <row r="25" spans="1:10" x14ac:dyDescent="0.55000000000000004">
      <c r="A25" s="97"/>
      <c r="B25" s="129"/>
      <c r="C25" s="30" t="s">
        <v>270</v>
      </c>
      <c r="D25" s="30" t="s">
        <v>346</v>
      </c>
      <c r="E25" s="30" t="s">
        <v>403</v>
      </c>
      <c r="F25" s="40">
        <v>4.20981491289346E-5</v>
      </c>
      <c r="G25" s="40" t="s">
        <v>404</v>
      </c>
      <c r="H25" s="30" t="s">
        <v>405</v>
      </c>
      <c r="I25" s="40">
        <v>1.2631319999999999E-3</v>
      </c>
      <c r="J25" s="30">
        <v>-1.4999999999999999E-2</v>
      </c>
    </row>
    <row r="26" spans="1:10" ht="14.7" thickBot="1" x14ac:dyDescent="0.6">
      <c r="A26" s="125"/>
      <c r="B26" s="130"/>
      <c r="C26" s="46" t="s">
        <v>275</v>
      </c>
      <c r="D26" s="46" t="s">
        <v>350</v>
      </c>
      <c r="E26" s="46" t="s">
        <v>352</v>
      </c>
      <c r="F26" s="48">
        <v>1.40597255673878E-7</v>
      </c>
      <c r="G26" s="48" t="s">
        <v>406</v>
      </c>
      <c r="H26" s="46" t="s">
        <v>407</v>
      </c>
      <c r="I26" s="48">
        <v>1.80001E-4</v>
      </c>
      <c r="J26" s="46">
        <v>-0.04</v>
      </c>
    </row>
    <row r="27" spans="1:10" x14ac:dyDescent="0.55000000000000004">
      <c r="I27" s="3" t="s">
        <v>408</v>
      </c>
      <c r="J27" s="13">
        <f>MEDIAN(J3:J26)</f>
        <v>-1.4E-2</v>
      </c>
    </row>
  </sheetData>
  <mergeCells count="22">
    <mergeCell ref="J1:J2"/>
    <mergeCell ref="C1:C2"/>
    <mergeCell ref="D1:F1"/>
    <mergeCell ref="G1:I1"/>
    <mergeCell ref="A18:A20"/>
    <mergeCell ref="B1:B2"/>
    <mergeCell ref="B9:B11"/>
    <mergeCell ref="B6:B8"/>
    <mergeCell ref="B3:B5"/>
    <mergeCell ref="A21:A23"/>
    <mergeCell ref="A24:A26"/>
    <mergeCell ref="A1:A2"/>
    <mergeCell ref="A3:A5"/>
    <mergeCell ref="A6:A8"/>
    <mergeCell ref="A9:A11"/>
    <mergeCell ref="A12:A14"/>
    <mergeCell ref="A15:A17"/>
    <mergeCell ref="B24:B26"/>
    <mergeCell ref="B21:B23"/>
    <mergeCell ref="B18:B20"/>
    <mergeCell ref="B15:B17"/>
    <mergeCell ref="B12:B14"/>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AE4E3-7B76-40AA-8BEB-84524E039160}">
  <dimension ref="A1:R194"/>
  <sheetViews>
    <sheetView zoomScale="66" workbookViewId="0">
      <selection activeCell="R12" sqref="R12"/>
    </sheetView>
  </sheetViews>
  <sheetFormatPr defaultRowHeight="14.4" x14ac:dyDescent="0.55000000000000004"/>
  <cols>
    <col min="2" max="2" width="23" customWidth="1"/>
    <col min="5" max="5" width="22.26171875" customWidth="1"/>
    <col min="8" max="8" width="33.20703125" bestFit="1" customWidth="1"/>
    <col min="11" max="11" width="22.68359375" customWidth="1"/>
    <col min="14" max="14" width="33.20703125" bestFit="1" customWidth="1"/>
  </cols>
  <sheetData>
    <row r="1" spans="1:18" x14ac:dyDescent="0.55000000000000004">
      <c r="B1" s="3"/>
      <c r="C1" s="6"/>
      <c r="D1" s="6"/>
      <c r="E1" s="95" t="s">
        <v>260</v>
      </c>
      <c r="F1" s="95"/>
      <c r="G1" s="95"/>
      <c r="H1" s="95"/>
      <c r="I1" s="95"/>
      <c r="J1" s="95"/>
      <c r="K1" s="96" t="s">
        <v>261</v>
      </c>
      <c r="L1" s="96"/>
      <c r="M1" s="96"/>
      <c r="N1" s="96"/>
      <c r="O1" s="96"/>
      <c r="P1" s="96"/>
      <c r="R1" t="s">
        <v>1580</v>
      </c>
    </row>
    <row r="2" spans="1:18" ht="16.2" x14ac:dyDescent="0.55000000000000004">
      <c r="B2" s="13" t="s">
        <v>409</v>
      </c>
      <c r="C2" s="13" t="s">
        <v>124</v>
      </c>
      <c r="D2" s="6" t="s">
        <v>410</v>
      </c>
      <c r="E2" s="71" t="s">
        <v>130</v>
      </c>
      <c r="F2" s="71" t="s">
        <v>131</v>
      </c>
      <c r="G2" s="71" t="s">
        <v>132</v>
      </c>
      <c r="H2" s="71" t="s">
        <v>1615</v>
      </c>
      <c r="I2" s="71" t="s">
        <v>131</v>
      </c>
      <c r="J2" s="71" t="s">
        <v>132</v>
      </c>
      <c r="K2" s="72" t="s">
        <v>130</v>
      </c>
      <c r="L2" s="72" t="s">
        <v>131</v>
      </c>
      <c r="M2" s="72" t="s">
        <v>132</v>
      </c>
      <c r="N2" s="72" t="s">
        <v>1615</v>
      </c>
      <c r="O2" s="72" t="s">
        <v>131</v>
      </c>
      <c r="P2" s="72" t="s">
        <v>132</v>
      </c>
    </row>
    <row r="3" spans="1:18" x14ac:dyDescent="0.55000000000000004">
      <c r="A3" s="93" t="s">
        <v>126</v>
      </c>
      <c r="B3" s="94" t="s">
        <v>411</v>
      </c>
      <c r="C3" s="73" t="s">
        <v>265</v>
      </c>
      <c r="D3" s="5">
        <v>50208</v>
      </c>
      <c r="E3" s="74" t="s">
        <v>412</v>
      </c>
      <c r="F3" s="74">
        <v>1.4E-2</v>
      </c>
      <c r="G3" s="74">
        <v>3.9E-2</v>
      </c>
      <c r="H3" s="74" t="s">
        <v>413</v>
      </c>
      <c r="I3" s="74">
        <v>2.1999999999999999E-2</v>
      </c>
      <c r="J3" s="74">
        <v>0.56100000000000005</v>
      </c>
      <c r="K3" s="75" t="s">
        <v>414</v>
      </c>
      <c r="L3" s="75">
        <v>0.192</v>
      </c>
      <c r="M3" s="75" t="s">
        <v>18</v>
      </c>
      <c r="N3" s="75" t="s">
        <v>415</v>
      </c>
      <c r="O3" s="75">
        <v>0.21</v>
      </c>
      <c r="P3" s="75" t="s">
        <v>18</v>
      </c>
    </row>
    <row r="4" spans="1:18" x14ac:dyDescent="0.55000000000000004">
      <c r="A4" s="93"/>
      <c r="B4" s="94"/>
      <c r="C4" s="73" t="s">
        <v>416</v>
      </c>
      <c r="D4" s="5">
        <v>25975</v>
      </c>
      <c r="E4" s="74" t="s">
        <v>417</v>
      </c>
      <c r="F4" s="74">
        <v>1E-3</v>
      </c>
      <c r="G4" s="74">
        <v>2E-3</v>
      </c>
      <c r="H4" s="74" t="s">
        <v>418</v>
      </c>
      <c r="I4" s="76">
        <v>1E-4</v>
      </c>
      <c r="J4" s="74">
        <v>0.66300000000000003</v>
      </c>
      <c r="K4" s="75" t="s">
        <v>419</v>
      </c>
      <c r="L4" s="75">
        <v>0.214</v>
      </c>
      <c r="M4" s="75" t="s">
        <v>18</v>
      </c>
      <c r="N4" s="75" t="s">
        <v>420</v>
      </c>
      <c r="O4" s="75">
        <v>0.221</v>
      </c>
      <c r="P4" s="75" t="s">
        <v>18</v>
      </c>
    </row>
    <row r="5" spans="1:18" x14ac:dyDescent="0.55000000000000004">
      <c r="A5" s="93"/>
      <c r="B5" s="94"/>
      <c r="C5" s="73" t="s">
        <v>421</v>
      </c>
      <c r="D5" s="5">
        <v>24233</v>
      </c>
      <c r="E5" s="74" t="s">
        <v>422</v>
      </c>
      <c r="F5" s="74">
        <v>6.0000000000000001E-3</v>
      </c>
      <c r="G5" s="74" t="s">
        <v>18</v>
      </c>
      <c r="H5" s="76" t="s">
        <v>423</v>
      </c>
      <c r="I5" s="76">
        <v>5.0000000000000001E-3</v>
      </c>
      <c r="J5" s="74" t="s">
        <v>18</v>
      </c>
      <c r="K5" s="75" t="s">
        <v>424</v>
      </c>
      <c r="L5" s="75">
        <v>0.16300000000000001</v>
      </c>
      <c r="M5" s="75" t="s">
        <v>18</v>
      </c>
      <c r="N5" s="77" t="s">
        <v>425</v>
      </c>
      <c r="O5" s="77">
        <v>0.182</v>
      </c>
      <c r="P5" s="75" t="s">
        <v>18</v>
      </c>
    </row>
    <row r="6" spans="1:18" x14ac:dyDescent="0.55000000000000004">
      <c r="A6" s="93"/>
      <c r="B6" s="94" t="s">
        <v>426</v>
      </c>
      <c r="C6" s="73" t="s">
        <v>265</v>
      </c>
      <c r="D6" s="5">
        <v>50208</v>
      </c>
      <c r="E6" s="74" t="s">
        <v>427</v>
      </c>
      <c r="F6" s="74">
        <v>0.56999999999999995</v>
      </c>
      <c r="G6" s="74" t="s">
        <v>18</v>
      </c>
      <c r="H6" s="74" t="s">
        <v>428</v>
      </c>
      <c r="I6" s="74">
        <v>0.55800000000000005</v>
      </c>
      <c r="J6" s="74" t="s">
        <v>18</v>
      </c>
      <c r="K6" s="75" t="s">
        <v>429</v>
      </c>
      <c r="L6" s="75">
        <v>0.57099999999999995</v>
      </c>
      <c r="M6" s="75" t="s">
        <v>18</v>
      </c>
      <c r="N6" s="75" t="s">
        <v>430</v>
      </c>
      <c r="O6" s="75">
        <v>0.55900000000000005</v>
      </c>
      <c r="P6" s="75" t="s">
        <v>18</v>
      </c>
    </row>
    <row r="7" spans="1:18" x14ac:dyDescent="0.55000000000000004">
      <c r="A7" s="93"/>
      <c r="B7" s="94"/>
      <c r="C7" s="73" t="s">
        <v>416</v>
      </c>
      <c r="D7" s="5">
        <v>25975</v>
      </c>
      <c r="E7" s="74" t="s">
        <v>431</v>
      </c>
      <c r="F7" s="74">
        <v>0.20100000000000001</v>
      </c>
      <c r="G7" s="74" t="s">
        <v>18</v>
      </c>
      <c r="H7" s="74" t="s">
        <v>432</v>
      </c>
      <c r="I7" s="74">
        <v>0.2</v>
      </c>
      <c r="J7" s="74" t="s">
        <v>18</v>
      </c>
      <c r="K7" s="75" t="s">
        <v>433</v>
      </c>
      <c r="L7" s="75">
        <v>0.21</v>
      </c>
      <c r="M7" s="75" t="s">
        <v>18</v>
      </c>
      <c r="N7" s="75" t="s">
        <v>434</v>
      </c>
      <c r="O7" s="75">
        <v>0.20899999999999999</v>
      </c>
      <c r="P7" s="75" t="s">
        <v>18</v>
      </c>
    </row>
    <row r="8" spans="1:18" x14ac:dyDescent="0.55000000000000004">
      <c r="A8" s="93"/>
      <c r="B8" s="94"/>
      <c r="C8" s="73" t="s">
        <v>421</v>
      </c>
      <c r="D8" s="5">
        <v>24233</v>
      </c>
      <c r="E8" s="74" t="s">
        <v>435</v>
      </c>
      <c r="F8" s="74">
        <v>0.35099999999999998</v>
      </c>
      <c r="G8" s="74" t="s">
        <v>18</v>
      </c>
      <c r="H8" s="74" t="s">
        <v>436</v>
      </c>
      <c r="I8" s="74">
        <v>0.35199999999999998</v>
      </c>
      <c r="J8" s="74" t="s">
        <v>18</v>
      </c>
      <c r="K8" s="75" t="s">
        <v>435</v>
      </c>
      <c r="L8" s="75">
        <v>0.35099999999999998</v>
      </c>
      <c r="M8" s="75" t="s">
        <v>18</v>
      </c>
      <c r="N8" s="75" t="s">
        <v>437</v>
      </c>
      <c r="O8" s="75">
        <v>0.35199999999999998</v>
      </c>
      <c r="P8" s="75" t="s">
        <v>18</v>
      </c>
    </row>
    <row r="9" spans="1:18" x14ac:dyDescent="0.55000000000000004">
      <c r="A9" s="93"/>
      <c r="B9" s="94" t="s">
        <v>438</v>
      </c>
      <c r="C9" s="73" t="s">
        <v>265</v>
      </c>
      <c r="D9" s="5">
        <v>50208</v>
      </c>
      <c r="E9" s="74" t="s">
        <v>439</v>
      </c>
      <c r="F9" s="74">
        <v>0.68700000000000006</v>
      </c>
      <c r="G9" s="74" t="s">
        <v>18</v>
      </c>
      <c r="H9" s="74" t="s">
        <v>440</v>
      </c>
      <c r="I9" s="74">
        <v>0.69499999999999995</v>
      </c>
      <c r="J9" s="74" t="s">
        <v>18</v>
      </c>
      <c r="K9" s="75" t="s">
        <v>441</v>
      </c>
      <c r="L9" s="75">
        <v>0.68700000000000006</v>
      </c>
      <c r="M9" s="75" t="s">
        <v>18</v>
      </c>
      <c r="N9" s="75" t="s">
        <v>442</v>
      </c>
      <c r="O9" s="75">
        <v>0.69599999999999995</v>
      </c>
      <c r="P9" s="75" t="s">
        <v>18</v>
      </c>
    </row>
    <row r="10" spans="1:18" x14ac:dyDescent="0.55000000000000004">
      <c r="A10" s="93"/>
      <c r="B10" s="94"/>
      <c r="C10" s="73" t="s">
        <v>416</v>
      </c>
      <c r="D10" s="5">
        <v>25975</v>
      </c>
      <c r="E10" s="74" t="s">
        <v>443</v>
      </c>
      <c r="F10" s="74">
        <v>0.66</v>
      </c>
      <c r="G10" s="74" t="s">
        <v>18</v>
      </c>
      <c r="H10" s="74" t="s">
        <v>444</v>
      </c>
      <c r="I10" s="74">
        <v>0.65100000000000002</v>
      </c>
      <c r="J10" s="74" t="s">
        <v>18</v>
      </c>
      <c r="K10" s="75" t="s">
        <v>445</v>
      </c>
      <c r="L10" s="75">
        <v>0.66100000000000003</v>
      </c>
      <c r="M10" s="75" t="s">
        <v>18</v>
      </c>
      <c r="N10" s="75" t="s">
        <v>446</v>
      </c>
      <c r="O10" s="75">
        <v>0.65200000000000002</v>
      </c>
      <c r="P10" s="75" t="s">
        <v>18</v>
      </c>
    </row>
    <row r="11" spans="1:18" x14ac:dyDescent="0.55000000000000004">
      <c r="A11" s="93"/>
      <c r="B11" s="94"/>
      <c r="C11" s="73" t="s">
        <v>421</v>
      </c>
      <c r="D11" s="5">
        <v>24233</v>
      </c>
      <c r="E11" s="74" t="s">
        <v>447</v>
      </c>
      <c r="F11" s="74">
        <v>0.65</v>
      </c>
      <c r="G11" s="74" t="s">
        <v>18</v>
      </c>
      <c r="H11" s="74" t="s">
        <v>448</v>
      </c>
      <c r="I11" s="74">
        <v>0.63400000000000001</v>
      </c>
      <c r="J11" s="74" t="s">
        <v>18</v>
      </c>
      <c r="K11" s="75" t="s">
        <v>449</v>
      </c>
      <c r="L11" s="75">
        <v>0.65</v>
      </c>
      <c r="M11" s="75" t="s">
        <v>18</v>
      </c>
      <c r="N11" s="75" t="s">
        <v>450</v>
      </c>
      <c r="O11" s="75">
        <v>0.63400000000000001</v>
      </c>
      <c r="P11" s="75" t="s">
        <v>18</v>
      </c>
    </row>
    <row r="12" spans="1:18" x14ac:dyDescent="0.55000000000000004">
      <c r="A12" s="93"/>
      <c r="B12" s="94" t="s">
        <v>451</v>
      </c>
      <c r="C12" s="73" t="s">
        <v>265</v>
      </c>
      <c r="D12" s="5">
        <v>50208</v>
      </c>
      <c r="E12" s="74" t="s">
        <v>452</v>
      </c>
      <c r="F12" s="74">
        <v>0.84299999999999997</v>
      </c>
      <c r="G12" s="74" t="s">
        <v>18</v>
      </c>
      <c r="H12" s="74" t="s">
        <v>453</v>
      </c>
      <c r="I12" s="74">
        <v>0.80800000000000005</v>
      </c>
      <c r="J12" s="74" t="s">
        <v>18</v>
      </c>
      <c r="K12" s="75" t="s">
        <v>454</v>
      </c>
      <c r="L12" s="75">
        <v>0.84499999999999997</v>
      </c>
      <c r="M12" s="75" t="s">
        <v>18</v>
      </c>
      <c r="N12" s="75" t="s">
        <v>455</v>
      </c>
      <c r="O12" s="75">
        <v>0.80800000000000005</v>
      </c>
      <c r="P12" s="75" t="s">
        <v>18</v>
      </c>
    </row>
    <row r="13" spans="1:18" x14ac:dyDescent="0.55000000000000004">
      <c r="A13" s="93"/>
      <c r="B13" s="94"/>
      <c r="C13" s="73" t="s">
        <v>416</v>
      </c>
      <c r="D13" s="5">
        <v>25975</v>
      </c>
      <c r="E13" s="74" t="s">
        <v>456</v>
      </c>
      <c r="F13" s="74">
        <v>0.84799999999999998</v>
      </c>
      <c r="G13" s="74" t="s">
        <v>18</v>
      </c>
      <c r="H13" s="74" t="s">
        <v>457</v>
      </c>
      <c r="I13" s="74">
        <v>0.80600000000000005</v>
      </c>
      <c r="J13" s="74" t="s">
        <v>18</v>
      </c>
      <c r="K13" s="75" t="s">
        <v>458</v>
      </c>
      <c r="L13" s="75">
        <v>0.84899999999999998</v>
      </c>
      <c r="M13" s="75" t="s">
        <v>18</v>
      </c>
      <c r="N13" s="75" t="s">
        <v>459</v>
      </c>
      <c r="O13" s="75">
        <v>0.80600000000000005</v>
      </c>
      <c r="P13" s="75" t="s">
        <v>18</v>
      </c>
    </row>
    <row r="14" spans="1:18" x14ac:dyDescent="0.55000000000000004">
      <c r="A14" s="93"/>
      <c r="B14" s="94"/>
      <c r="C14" s="73" t="s">
        <v>421</v>
      </c>
      <c r="D14" s="5">
        <v>24233</v>
      </c>
      <c r="E14" s="74" t="s">
        <v>460</v>
      </c>
      <c r="F14" s="74">
        <v>0.747</v>
      </c>
      <c r="G14" s="74" t="s">
        <v>18</v>
      </c>
      <c r="H14" s="74" t="s">
        <v>461</v>
      </c>
      <c r="I14" s="74">
        <v>0.71699999999999997</v>
      </c>
      <c r="J14" s="74" t="s">
        <v>18</v>
      </c>
      <c r="K14" s="75" t="s">
        <v>462</v>
      </c>
      <c r="L14" s="75">
        <v>0.753</v>
      </c>
      <c r="M14" s="75" t="s">
        <v>18</v>
      </c>
      <c r="N14" s="75" t="s">
        <v>463</v>
      </c>
      <c r="O14" s="75">
        <v>0.71899999999999997</v>
      </c>
      <c r="P14" s="75" t="s">
        <v>18</v>
      </c>
    </row>
    <row r="15" spans="1:18" x14ac:dyDescent="0.55000000000000004">
      <c r="A15" s="93"/>
      <c r="B15" s="94" t="s">
        <v>464</v>
      </c>
      <c r="C15" s="73" t="s">
        <v>265</v>
      </c>
      <c r="D15" s="5">
        <v>50208</v>
      </c>
      <c r="E15" s="74" t="s">
        <v>465</v>
      </c>
      <c r="F15" s="74">
        <v>0.41699999999999998</v>
      </c>
      <c r="G15" s="74" t="s">
        <v>18</v>
      </c>
      <c r="H15" s="74" t="s">
        <v>466</v>
      </c>
      <c r="I15" s="74">
        <v>0.42799999999999999</v>
      </c>
      <c r="J15" s="74" t="s">
        <v>18</v>
      </c>
      <c r="K15" s="75" t="s">
        <v>467</v>
      </c>
      <c r="L15" s="75">
        <v>0.41799999999999998</v>
      </c>
      <c r="M15" s="75" t="s">
        <v>18</v>
      </c>
      <c r="N15" s="75" t="s">
        <v>468</v>
      </c>
      <c r="O15" s="75">
        <v>0.42799999999999999</v>
      </c>
      <c r="P15" s="75" t="s">
        <v>18</v>
      </c>
    </row>
    <row r="16" spans="1:18" x14ac:dyDescent="0.55000000000000004">
      <c r="A16" s="93"/>
      <c r="B16" s="94"/>
      <c r="C16" s="73" t="s">
        <v>416</v>
      </c>
      <c r="D16" s="5">
        <v>25975</v>
      </c>
      <c r="E16" s="74" t="s">
        <v>469</v>
      </c>
      <c r="F16" s="74">
        <v>0.379</v>
      </c>
      <c r="G16" s="74" t="s">
        <v>18</v>
      </c>
      <c r="H16" s="74" t="s">
        <v>470</v>
      </c>
      <c r="I16" s="74">
        <v>0.38700000000000001</v>
      </c>
      <c r="J16" s="74" t="s">
        <v>18</v>
      </c>
      <c r="K16" s="75" t="s">
        <v>471</v>
      </c>
      <c r="L16" s="75">
        <v>0.379</v>
      </c>
      <c r="M16" s="75" t="s">
        <v>18</v>
      </c>
      <c r="N16" s="75" t="s">
        <v>472</v>
      </c>
      <c r="O16" s="75">
        <v>0.38800000000000001</v>
      </c>
      <c r="P16" s="75" t="s">
        <v>18</v>
      </c>
    </row>
    <row r="17" spans="1:16" x14ac:dyDescent="0.55000000000000004">
      <c r="A17" s="93"/>
      <c r="B17" s="94"/>
      <c r="C17" s="73" t="s">
        <v>421</v>
      </c>
      <c r="D17" s="5">
        <v>24233</v>
      </c>
      <c r="E17" s="74" t="s">
        <v>473</v>
      </c>
      <c r="F17" s="74">
        <v>0.374</v>
      </c>
      <c r="G17" s="74" t="s">
        <v>18</v>
      </c>
      <c r="H17" s="74" t="s">
        <v>474</v>
      </c>
      <c r="I17" s="74">
        <v>0.38200000000000001</v>
      </c>
      <c r="J17" s="74" t="s">
        <v>18</v>
      </c>
      <c r="K17" s="75" t="s">
        <v>475</v>
      </c>
      <c r="L17" s="75">
        <v>0.375</v>
      </c>
      <c r="M17" s="75" t="s">
        <v>18</v>
      </c>
      <c r="N17" s="75" t="s">
        <v>476</v>
      </c>
      <c r="O17" s="75">
        <v>0.38300000000000001</v>
      </c>
      <c r="P17" s="75" t="s">
        <v>18</v>
      </c>
    </row>
    <row r="18" spans="1:16" x14ac:dyDescent="0.55000000000000004">
      <c r="A18" s="93"/>
      <c r="B18" s="94" t="s">
        <v>477</v>
      </c>
      <c r="C18" s="73" t="s">
        <v>265</v>
      </c>
      <c r="D18" s="5">
        <v>50208</v>
      </c>
      <c r="E18" s="74" t="s">
        <v>478</v>
      </c>
      <c r="F18" s="74">
        <v>0.69099999999999995</v>
      </c>
      <c r="G18" s="74" t="s">
        <v>18</v>
      </c>
      <c r="H18" s="74" t="s">
        <v>479</v>
      </c>
      <c r="I18" s="74">
        <v>0.67300000000000004</v>
      </c>
      <c r="J18" s="74" t="s">
        <v>18</v>
      </c>
      <c r="K18" s="75" t="s">
        <v>480</v>
      </c>
      <c r="L18" s="75">
        <v>0.69799999999999995</v>
      </c>
      <c r="M18" s="75" t="s">
        <v>18</v>
      </c>
      <c r="N18" s="75" t="s">
        <v>481</v>
      </c>
      <c r="O18" s="75">
        <v>0.68100000000000005</v>
      </c>
      <c r="P18" s="75" t="s">
        <v>18</v>
      </c>
    </row>
    <row r="19" spans="1:16" x14ac:dyDescent="0.55000000000000004">
      <c r="A19" s="93"/>
      <c r="B19" s="94"/>
      <c r="C19" s="73" t="s">
        <v>416</v>
      </c>
      <c r="D19" s="5">
        <v>25975</v>
      </c>
      <c r="E19" s="74" t="s">
        <v>482</v>
      </c>
      <c r="F19" s="74">
        <v>0.35599999999999998</v>
      </c>
      <c r="G19" s="74" t="s">
        <v>18</v>
      </c>
      <c r="H19" s="74" t="s">
        <v>483</v>
      </c>
      <c r="I19" s="74">
        <v>0.34799999999999998</v>
      </c>
      <c r="J19" s="74" t="s">
        <v>18</v>
      </c>
      <c r="K19" s="75" t="s">
        <v>484</v>
      </c>
      <c r="L19" s="75">
        <v>0.373</v>
      </c>
      <c r="M19" s="75" t="s">
        <v>18</v>
      </c>
      <c r="N19" s="75" t="s">
        <v>485</v>
      </c>
      <c r="O19" s="75">
        <v>0.36499999999999999</v>
      </c>
      <c r="P19" s="75" t="s">
        <v>18</v>
      </c>
    </row>
    <row r="20" spans="1:16" x14ac:dyDescent="0.55000000000000004">
      <c r="A20" s="93"/>
      <c r="B20" s="94"/>
      <c r="C20" s="73" t="s">
        <v>421</v>
      </c>
      <c r="D20" s="5">
        <v>24233</v>
      </c>
      <c r="E20" s="74" t="s">
        <v>486</v>
      </c>
      <c r="F20" s="74">
        <v>0.39700000000000002</v>
      </c>
      <c r="G20" s="74" t="s">
        <v>18</v>
      </c>
      <c r="H20" s="74" t="s">
        <v>487</v>
      </c>
      <c r="I20" s="74">
        <v>0.39500000000000002</v>
      </c>
      <c r="J20" s="74" t="s">
        <v>18</v>
      </c>
      <c r="K20" s="75" t="s">
        <v>488</v>
      </c>
      <c r="L20" s="75">
        <v>0.41199999999999998</v>
      </c>
      <c r="M20" s="75" t="s">
        <v>18</v>
      </c>
      <c r="N20" s="75" t="s">
        <v>489</v>
      </c>
      <c r="O20" s="75">
        <v>0.41099999999999998</v>
      </c>
      <c r="P20" s="75" t="s">
        <v>18</v>
      </c>
    </row>
    <row r="21" spans="1:16" x14ac:dyDescent="0.55000000000000004">
      <c r="A21" s="93"/>
      <c r="B21" s="94" t="s">
        <v>490</v>
      </c>
      <c r="C21" s="73" t="s">
        <v>265</v>
      </c>
      <c r="D21" s="5">
        <v>39567</v>
      </c>
      <c r="E21" s="74" t="s">
        <v>491</v>
      </c>
      <c r="F21" s="74">
        <v>0.249</v>
      </c>
      <c r="G21" s="74" t="s">
        <v>18</v>
      </c>
      <c r="H21" s="74" t="s">
        <v>492</v>
      </c>
      <c r="I21" s="74">
        <v>0.38600000000000001</v>
      </c>
      <c r="J21" s="74" t="s">
        <v>18</v>
      </c>
      <c r="K21" s="75" t="s">
        <v>493</v>
      </c>
      <c r="L21" s="75">
        <v>0.249</v>
      </c>
      <c r="M21" s="75" t="s">
        <v>18</v>
      </c>
      <c r="N21" s="75" t="s">
        <v>494</v>
      </c>
      <c r="O21" s="75">
        <v>0.38800000000000001</v>
      </c>
      <c r="P21" s="75" t="s">
        <v>18</v>
      </c>
    </row>
    <row r="22" spans="1:16" x14ac:dyDescent="0.55000000000000004">
      <c r="A22" s="93"/>
      <c r="B22" s="94"/>
      <c r="C22" s="73" t="s">
        <v>416</v>
      </c>
      <c r="D22" s="5">
        <v>20649</v>
      </c>
      <c r="E22" s="74" t="s">
        <v>495</v>
      </c>
      <c r="F22" s="74">
        <v>0.24</v>
      </c>
      <c r="G22" s="74" t="s">
        <v>18</v>
      </c>
      <c r="H22" s="74" t="s">
        <v>496</v>
      </c>
      <c r="I22" s="74">
        <v>0.36899999999999999</v>
      </c>
      <c r="J22" s="74" t="s">
        <v>18</v>
      </c>
      <c r="K22" s="75" t="s">
        <v>497</v>
      </c>
      <c r="L22" s="75">
        <v>0.24099999999999999</v>
      </c>
      <c r="M22" s="75" t="s">
        <v>18</v>
      </c>
      <c r="N22" s="75" t="s">
        <v>498</v>
      </c>
      <c r="O22" s="75">
        <v>0.372</v>
      </c>
      <c r="P22" s="75" t="s">
        <v>18</v>
      </c>
    </row>
    <row r="23" spans="1:16" x14ac:dyDescent="0.55000000000000004">
      <c r="A23" s="93"/>
      <c r="B23" s="94"/>
      <c r="C23" s="73" t="s">
        <v>421</v>
      </c>
      <c r="D23" s="5">
        <v>18918</v>
      </c>
      <c r="E23" s="74" t="s">
        <v>499</v>
      </c>
      <c r="F23" s="74">
        <v>0.23799999999999999</v>
      </c>
      <c r="G23" s="74" t="s">
        <v>18</v>
      </c>
      <c r="H23" s="74" t="s">
        <v>500</v>
      </c>
      <c r="I23" s="74">
        <v>0.32400000000000001</v>
      </c>
      <c r="J23" s="74" t="s">
        <v>18</v>
      </c>
      <c r="K23" s="75" t="s">
        <v>501</v>
      </c>
      <c r="L23" s="75">
        <v>0.23799999999999999</v>
      </c>
      <c r="M23" s="75" t="s">
        <v>18</v>
      </c>
      <c r="N23" s="75" t="s">
        <v>502</v>
      </c>
      <c r="O23" s="75">
        <v>0.32500000000000001</v>
      </c>
      <c r="P23" s="75" t="s">
        <v>18</v>
      </c>
    </row>
    <row r="24" spans="1:16" x14ac:dyDescent="0.55000000000000004">
      <c r="A24" s="93"/>
      <c r="B24" s="94" t="s">
        <v>503</v>
      </c>
      <c r="C24" s="73" t="s">
        <v>265</v>
      </c>
      <c r="D24" s="5">
        <v>28749</v>
      </c>
      <c r="E24" s="74" t="s">
        <v>504</v>
      </c>
      <c r="F24" s="74">
        <v>0.26400000000000001</v>
      </c>
      <c r="G24" s="74" t="s">
        <v>18</v>
      </c>
      <c r="H24" s="74" t="s">
        <v>505</v>
      </c>
      <c r="I24" s="74">
        <v>0.35799999999999998</v>
      </c>
      <c r="J24" s="74" t="s">
        <v>18</v>
      </c>
      <c r="K24" s="75" t="s">
        <v>506</v>
      </c>
      <c r="L24" s="75">
        <v>0.26400000000000001</v>
      </c>
      <c r="M24" s="75" t="s">
        <v>18</v>
      </c>
      <c r="N24" s="75" t="s">
        <v>507</v>
      </c>
      <c r="O24" s="75">
        <v>0.35899999999999999</v>
      </c>
      <c r="P24" s="75" t="s">
        <v>18</v>
      </c>
    </row>
    <row r="25" spans="1:16" x14ac:dyDescent="0.55000000000000004">
      <c r="A25" s="93"/>
      <c r="B25" s="94"/>
      <c r="C25" s="73" t="s">
        <v>416</v>
      </c>
      <c r="D25" s="5">
        <v>14829</v>
      </c>
      <c r="E25" s="74" t="s">
        <v>508</v>
      </c>
      <c r="F25" s="74">
        <v>0.253</v>
      </c>
      <c r="G25" s="74" t="s">
        <v>18</v>
      </c>
      <c r="H25" s="74" t="s">
        <v>509</v>
      </c>
      <c r="I25" s="74">
        <v>0.33200000000000002</v>
      </c>
      <c r="J25" s="74" t="s">
        <v>18</v>
      </c>
      <c r="K25" s="75" t="s">
        <v>510</v>
      </c>
      <c r="L25" s="75">
        <v>0.255</v>
      </c>
      <c r="M25" s="75" t="s">
        <v>18</v>
      </c>
      <c r="N25" s="75" t="s">
        <v>511</v>
      </c>
      <c r="O25" s="75">
        <v>0.33400000000000002</v>
      </c>
      <c r="P25" s="75" t="s">
        <v>18</v>
      </c>
    </row>
    <row r="26" spans="1:16" x14ac:dyDescent="0.55000000000000004">
      <c r="A26" s="93"/>
      <c r="B26" s="94"/>
      <c r="C26" s="73" t="s">
        <v>421</v>
      </c>
      <c r="D26" s="5">
        <v>13920</v>
      </c>
      <c r="E26" s="74" t="s">
        <v>512</v>
      </c>
      <c r="F26" s="74">
        <v>0.17799999999999999</v>
      </c>
      <c r="G26" s="74" t="s">
        <v>18</v>
      </c>
      <c r="H26" s="74" t="s">
        <v>513</v>
      </c>
      <c r="I26" s="74">
        <v>0.22800000000000001</v>
      </c>
      <c r="J26" s="74" t="s">
        <v>18</v>
      </c>
      <c r="K26" s="75" t="s">
        <v>514</v>
      </c>
      <c r="L26" s="75">
        <v>0.17799999999999999</v>
      </c>
      <c r="M26" s="75" t="s">
        <v>18</v>
      </c>
      <c r="N26" s="75" t="s">
        <v>515</v>
      </c>
      <c r="O26" s="75">
        <v>0.22900000000000001</v>
      </c>
      <c r="P26" s="75" t="s">
        <v>18</v>
      </c>
    </row>
    <row r="27" spans="1:16" x14ac:dyDescent="0.55000000000000004">
      <c r="A27" s="93" t="s">
        <v>127</v>
      </c>
      <c r="B27" s="94" t="s">
        <v>411</v>
      </c>
      <c r="C27" s="73" t="s">
        <v>265</v>
      </c>
      <c r="D27" s="73">
        <v>47209</v>
      </c>
      <c r="E27" s="74" t="s">
        <v>516</v>
      </c>
      <c r="F27" s="74">
        <v>0.05</v>
      </c>
      <c r="G27" s="74" t="s">
        <v>18</v>
      </c>
      <c r="H27" s="74" t="s">
        <v>517</v>
      </c>
      <c r="I27" s="74">
        <v>6.0999999999999999E-2</v>
      </c>
      <c r="J27" s="74" t="s">
        <v>18</v>
      </c>
      <c r="K27" s="75" t="s">
        <v>518</v>
      </c>
      <c r="L27" s="75">
        <v>9.8000000000000004E-2</v>
      </c>
      <c r="M27" s="75" t="s">
        <v>18</v>
      </c>
      <c r="N27" s="75" t="s">
        <v>519</v>
      </c>
      <c r="O27" s="75">
        <v>0.112</v>
      </c>
      <c r="P27" s="75" t="s">
        <v>18</v>
      </c>
    </row>
    <row r="28" spans="1:16" x14ac:dyDescent="0.55000000000000004">
      <c r="A28" s="93"/>
      <c r="B28" s="94"/>
      <c r="C28" s="73" t="s">
        <v>416</v>
      </c>
      <c r="D28" s="73">
        <v>25211</v>
      </c>
      <c r="E28" s="74" t="s">
        <v>520</v>
      </c>
      <c r="F28" s="74">
        <v>3.5999999999999997E-2</v>
      </c>
      <c r="G28" s="74" t="s">
        <v>18</v>
      </c>
      <c r="H28" s="74" t="s">
        <v>521</v>
      </c>
      <c r="I28" s="74">
        <v>3.5000000000000003E-2</v>
      </c>
      <c r="J28" s="74" t="s">
        <v>18</v>
      </c>
      <c r="K28" s="75" t="s">
        <v>522</v>
      </c>
      <c r="L28" s="75">
        <v>0.10100000000000001</v>
      </c>
      <c r="M28" s="75" t="s">
        <v>18</v>
      </c>
      <c r="N28" s="75" t="s">
        <v>523</v>
      </c>
      <c r="O28" s="75">
        <v>0.104</v>
      </c>
      <c r="P28" s="75" t="s">
        <v>18</v>
      </c>
    </row>
    <row r="29" spans="1:16" x14ac:dyDescent="0.55000000000000004">
      <c r="A29" s="93"/>
      <c r="B29" s="94"/>
      <c r="C29" s="73" t="s">
        <v>421</v>
      </c>
      <c r="D29" s="73">
        <v>21818</v>
      </c>
      <c r="E29" s="74" t="s">
        <v>524</v>
      </c>
      <c r="F29" s="74">
        <v>3.9E-2</v>
      </c>
      <c r="G29" s="74" t="s">
        <v>18</v>
      </c>
      <c r="H29" s="74" t="s">
        <v>521</v>
      </c>
      <c r="I29" s="74">
        <v>4.2000000000000003E-2</v>
      </c>
      <c r="J29" s="74" t="s">
        <v>18</v>
      </c>
      <c r="K29" s="75" t="s">
        <v>525</v>
      </c>
      <c r="L29" s="75">
        <v>7.2999999999999995E-2</v>
      </c>
      <c r="M29" s="75" t="s">
        <v>18</v>
      </c>
      <c r="N29" s="75" t="s">
        <v>526</v>
      </c>
      <c r="O29" s="75">
        <v>7.9000000000000001E-2</v>
      </c>
      <c r="P29" s="75" t="s">
        <v>18</v>
      </c>
    </row>
    <row r="30" spans="1:16" x14ac:dyDescent="0.55000000000000004">
      <c r="A30" s="93"/>
      <c r="B30" s="94" t="s">
        <v>426</v>
      </c>
      <c r="C30" s="73" t="s">
        <v>265</v>
      </c>
      <c r="D30" s="73">
        <v>47029</v>
      </c>
      <c r="E30" s="74" t="s">
        <v>527</v>
      </c>
      <c r="F30" s="74">
        <v>0.57099999999999995</v>
      </c>
      <c r="G30" s="74">
        <v>1E-3</v>
      </c>
      <c r="H30" s="74" t="s">
        <v>528</v>
      </c>
      <c r="I30" s="74">
        <v>0.55700000000000005</v>
      </c>
      <c r="J30" s="74">
        <v>1E-3</v>
      </c>
      <c r="K30" s="75" t="s">
        <v>529</v>
      </c>
      <c r="L30" s="75">
        <v>0.57099999999999995</v>
      </c>
      <c r="M30" s="75">
        <v>1.2E-2</v>
      </c>
      <c r="N30" s="75" t="s">
        <v>530</v>
      </c>
      <c r="O30" s="75">
        <v>0.55700000000000005</v>
      </c>
      <c r="P30" s="75">
        <v>8.9999999999999993E-3</v>
      </c>
    </row>
    <row r="31" spans="1:16" x14ac:dyDescent="0.55000000000000004">
      <c r="A31" s="93"/>
      <c r="B31" s="94"/>
      <c r="C31" s="73" t="s">
        <v>416</v>
      </c>
      <c r="D31" s="73">
        <v>25211</v>
      </c>
      <c r="E31" s="74" t="s">
        <v>531</v>
      </c>
      <c r="F31" s="74">
        <v>0.193</v>
      </c>
      <c r="G31" s="74">
        <v>0.41</v>
      </c>
      <c r="H31" s="74" t="s">
        <v>532</v>
      </c>
      <c r="I31" s="74">
        <v>0.191</v>
      </c>
      <c r="J31" s="74">
        <v>0.40200000000000002</v>
      </c>
      <c r="K31" s="75" t="s">
        <v>529</v>
      </c>
      <c r="L31" s="75">
        <v>0.193</v>
      </c>
      <c r="M31" s="75">
        <v>5.8999999999999997E-2</v>
      </c>
      <c r="N31" s="75" t="s">
        <v>533</v>
      </c>
      <c r="O31" s="75">
        <v>0.192</v>
      </c>
      <c r="P31" s="75">
        <v>5.3999999999999999E-2</v>
      </c>
    </row>
    <row r="32" spans="1:16" x14ac:dyDescent="0.55000000000000004">
      <c r="A32" s="93"/>
      <c r="B32" s="94"/>
      <c r="C32" s="73" t="s">
        <v>421</v>
      </c>
      <c r="D32" s="73">
        <v>21818</v>
      </c>
      <c r="E32" s="74" t="s">
        <v>534</v>
      </c>
      <c r="F32" s="74">
        <v>0.32</v>
      </c>
      <c r="G32" s="74" t="s">
        <v>18</v>
      </c>
      <c r="H32" s="74" t="s">
        <v>535</v>
      </c>
      <c r="I32" s="74">
        <v>0.32</v>
      </c>
      <c r="J32" s="74" t="s">
        <v>18</v>
      </c>
      <c r="K32" s="75" t="s">
        <v>536</v>
      </c>
      <c r="L32" s="75">
        <v>0.32400000000000001</v>
      </c>
      <c r="M32" s="75" t="s">
        <v>18</v>
      </c>
      <c r="N32" s="75" t="s">
        <v>537</v>
      </c>
      <c r="O32" s="75">
        <v>0.32400000000000001</v>
      </c>
      <c r="P32" s="75" t="s">
        <v>18</v>
      </c>
    </row>
    <row r="33" spans="1:16" x14ac:dyDescent="0.55000000000000004">
      <c r="A33" s="93"/>
      <c r="B33" s="94" t="s">
        <v>438</v>
      </c>
      <c r="C33" s="73" t="s">
        <v>265</v>
      </c>
      <c r="D33" s="73">
        <v>47029</v>
      </c>
      <c r="E33" s="74" t="s">
        <v>538</v>
      </c>
      <c r="F33" s="74">
        <v>0.67</v>
      </c>
      <c r="G33" s="74" t="s">
        <v>18</v>
      </c>
      <c r="H33" s="74" t="s">
        <v>539</v>
      </c>
      <c r="I33" s="74">
        <v>0.68100000000000005</v>
      </c>
      <c r="J33" s="74" t="s">
        <v>18</v>
      </c>
      <c r="K33" s="75" t="s">
        <v>540</v>
      </c>
      <c r="L33" s="75">
        <v>0.67100000000000004</v>
      </c>
      <c r="M33" s="75" t="s">
        <v>18</v>
      </c>
      <c r="N33" s="75" t="s">
        <v>541</v>
      </c>
      <c r="O33" s="75">
        <v>0.68100000000000005</v>
      </c>
      <c r="P33" s="75" t="s">
        <v>18</v>
      </c>
    </row>
    <row r="34" spans="1:16" x14ac:dyDescent="0.55000000000000004">
      <c r="A34" s="93"/>
      <c r="B34" s="94"/>
      <c r="C34" s="73" t="s">
        <v>416</v>
      </c>
      <c r="D34" s="73">
        <v>25211</v>
      </c>
      <c r="E34" s="74" t="s">
        <v>542</v>
      </c>
      <c r="F34" s="74">
        <v>0.63600000000000001</v>
      </c>
      <c r="G34" s="74" t="s">
        <v>18</v>
      </c>
      <c r="H34" s="74" t="s">
        <v>543</v>
      </c>
      <c r="I34" s="74">
        <v>0.61899999999999999</v>
      </c>
      <c r="J34" s="74" t="s">
        <v>18</v>
      </c>
      <c r="K34" s="75" t="s">
        <v>542</v>
      </c>
      <c r="L34" s="75">
        <v>0.63600000000000001</v>
      </c>
      <c r="M34" s="75" t="s">
        <v>18</v>
      </c>
      <c r="N34" s="75" t="s">
        <v>544</v>
      </c>
      <c r="O34" s="75">
        <v>0.61899999999999999</v>
      </c>
      <c r="P34" s="75" t="s">
        <v>18</v>
      </c>
    </row>
    <row r="35" spans="1:16" x14ac:dyDescent="0.55000000000000004">
      <c r="A35" s="93"/>
      <c r="B35" s="94"/>
      <c r="C35" s="73" t="s">
        <v>421</v>
      </c>
      <c r="D35" s="73">
        <v>21818</v>
      </c>
      <c r="E35" s="74" t="s">
        <v>545</v>
      </c>
      <c r="F35" s="74">
        <v>0.60699999999999998</v>
      </c>
      <c r="G35" s="74">
        <v>1E-3</v>
      </c>
      <c r="H35" s="74" t="s">
        <v>546</v>
      </c>
      <c r="I35" s="74">
        <v>0.59</v>
      </c>
      <c r="J35" s="74">
        <v>0.55100000000000005</v>
      </c>
      <c r="K35" s="75" t="s">
        <v>547</v>
      </c>
      <c r="L35" s="75">
        <v>0.61</v>
      </c>
      <c r="M35" s="75">
        <v>0.83499999999999996</v>
      </c>
      <c r="N35" s="75" t="s">
        <v>548</v>
      </c>
      <c r="O35" s="75">
        <v>0.59299999999999997</v>
      </c>
      <c r="P35" s="75">
        <v>1.4E-2</v>
      </c>
    </row>
    <row r="36" spans="1:16" x14ac:dyDescent="0.55000000000000004">
      <c r="A36" s="93"/>
      <c r="B36" s="94" t="s">
        <v>451</v>
      </c>
      <c r="C36" s="73" t="s">
        <v>265</v>
      </c>
      <c r="D36" s="73">
        <v>47029</v>
      </c>
      <c r="E36" s="74" t="s">
        <v>549</v>
      </c>
      <c r="F36" s="74">
        <v>0.83699999999999997</v>
      </c>
      <c r="G36" s="74">
        <v>8.1000000000000003E-2</v>
      </c>
      <c r="H36" s="74" t="s">
        <v>550</v>
      </c>
      <c r="I36" s="74">
        <v>0.79200000000000004</v>
      </c>
      <c r="J36" s="74" t="s">
        <v>18</v>
      </c>
      <c r="K36" s="75" t="s">
        <v>551</v>
      </c>
      <c r="L36" s="75">
        <v>0.83799999999999997</v>
      </c>
      <c r="M36" s="75" t="s">
        <v>18</v>
      </c>
      <c r="N36" s="75" t="s">
        <v>552</v>
      </c>
      <c r="O36" s="75">
        <v>0.79200000000000004</v>
      </c>
      <c r="P36" s="75">
        <v>5.2999999999999999E-2</v>
      </c>
    </row>
    <row r="37" spans="1:16" x14ac:dyDescent="0.55000000000000004">
      <c r="A37" s="93"/>
      <c r="B37" s="94"/>
      <c r="C37" s="73" t="s">
        <v>416</v>
      </c>
      <c r="D37" s="73">
        <v>25211</v>
      </c>
      <c r="E37" s="74" t="s">
        <v>553</v>
      </c>
      <c r="F37" s="74">
        <v>0.84399999999999997</v>
      </c>
      <c r="G37" s="74" t="s">
        <v>18</v>
      </c>
      <c r="H37" s="74" t="s">
        <v>554</v>
      </c>
      <c r="I37" s="74">
        <v>0.79700000000000004</v>
      </c>
      <c r="J37" s="74" t="s">
        <v>18</v>
      </c>
      <c r="K37" s="75" t="s">
        <v>555</v>
      </c>
      <c r="L37" s="75">
        <v>0.84399999999999997</v>
      </c>
      <c r="M37" s="75" t="s">
        <v>18</v>
      </c>
      <c r="N37" s="75" t="s">
        <v>556</v>
      </c>
      <c r="O37" s="75">
        <v>0.79700000000000004</v>
      </c>
      <c r="P37" s="75" t="s">
        <v>18</v>
      </c>
    </row>
    <row r="38" spans="1:16" x14ac:dyDescent="0.55000000000000004">
      <c r="A38" s="93"/>
      <c r="B38" s="94"/>
      <c r="C38" s="73" t="s">
        <v>421</v>
      </c>
      <c r="D38" s="73">
        <v>21818</v>
      </c>
      <c r="E38" s="74" t="s">
        <v>557</v>
      </c>
      <c r="F38" s="74">
        <v>0.72299999999999998</v>
      </c>
      <c r="G38" s="74">
        <v>2E-3</v>
      </c>
      <c r="H38" s="74" t="s">
        <v>558</v>
      </c>
      <c r="I38" s="74">
        <v>0.69199999999999995</v>
      </c>
      <c r="J38" s="74" t="s">
        <v>18</v>
      </c>
      <c r="K38" s="75" t="s">
        <v>559</v>
      </c>
      <c r="L38" s="75">
        <v>0.72699999999999998</v>
      </c>
      <c r="M38" s="75" t="s">
        <v>18</v>
      </c>
      <c r="N38" s="75" t="s">
        <v>560</v>
      </c>
      <c r="O38" s="75">
        <v>0.69499999999999995</v>
      </c>
      <c r="P38" s="75" t="s">
        <v>18</v>
      </c>
    </row>
    <row r="39" spans="1:16" x14ac:dyDescent="0.55000000000000004">
      <c r="A39" s="93"/>
      <c r="B39" s="94" t="s">
        <v>464</v>
      </c>
      <c r="C39" s="73" t="s">
        <v>265</v>
      </c>
      <c r="D39" s="73">
        <v>47029</v>
      </c>
      <c r="E39" s="74" t="s">
        <v>561</v>
      </c>
      <c r="F39" s="74">
        <v>0.39</v>
      </c>
      <c r="G39" s="74" t="s">
        <v>18</v>
      </c>
      <c r="H39" s="74" t="s">
        <v>562</v>
      </c>
      <c r="I39" s="74">
        <v>0.39600000000000002</v>
      </c>
      <c r="J39" s="74" t="s">
        <v>18</v>
      </c>
      <c r="K39" s="75" t="s">
        <v>563</v>
      </c>
      <c r="L39" s="75">
        <v>0.39300000000000002</v>
      </c>
      <c r="M39" s="75" t="s">
        <v>18</v>
      </c>
      <c r="N39" s="75" t="s">
        <v>564</v>
      </c>
      <c r="O39" s="75">
        <v>0.39900000000000002</v>
      </c>
      <c r="P39" s="75" t="s">
        <v>18</v>
      </c>
    </row>
    <row r="40" spans="1:16" x14ac:dyDescent="0.55000000000000004">
      <c r="A40" s="93"/>
      <c r="B40" s="94"/>
      <c r="C40" s="73" t="s">
        <v>416</v>
      </c>
      <c r="D40" s="73">
        <v>25211</v>
      </c>
      <c r="E40" s="74" t="s">
        <v>565</v>
      </c>
      <c r="F40" s="74">
        <v>0.36699999999999999</v>
      </c>
      <c r="G40" s="74" t="s">
        <v>18</v>
      </c>
      <c r="H40" s="74" t="s">
        <v>566</v>
      </c>
      <c r="I40" s="74">
        <v>0.373</v>
      </c>
      <c r="J40" s="74" t="s">
        <v>18</v>
      </c>
      <c r="K40" s="75" t="s">
        <v>567</v>
      </c>
      <c r="L40" s="75">
        <v>0.37</v>
      </c>
      <c r="M40" s="75" t="s">
        <v>18</v>
      </c>
      <c r="N40" s="75" t="s">
        <v>568</v>
      </c>
      <c r="O40" s="75">
        <v>0.375</v>
      </c>
      <c r="P40" s="75" t="s">
        <v>18</v>
      </c>
    </row>
    <row r="41" spans="1:16" x14ac:dyDescent="0.55000000000000004">
      <c r="A41" s="93"/>
      <c r="B41" s="94"/>
      <c r="C41" s="73" t="s">
        <v>421</v>
      </c>
      <c r="D41" s="73">
        <v>21818</v>
      </c>
      <c r="E41" s="74" t="s">
        <v>569</v>
      </c>
      <c r="F41" s="74">
        <v>0.33400000000000002</v>
      </c>
      <c r="G41" s="74" t="s">
        <v>18</v>
      </c>
      <c r="H41" s="74" t="s">
        <v>570</v>
      </c>
      <c r="I41" s="74">
        <v>0.33800000000000002</v>
      </c>
      <c r="J41" s="74">
        <v>1.7999999999999999E-2</v>
      </c>
      <c r="K41" s="75" t="s">
        <v>571</v>
      </c>
      <c r="L41" s="75">
        <v>0.33600000000000002</v>
      </c>
      <c r="M41" s="75">
        <v>0.184</v>
      </c>
      <c r="N41" s="75" t="s">
        <v>572</v>
      </c>
      <c r="O41" s="75">
        <v>0.34100000000000003</v>
      </c>
      <c r="P41" s="75">
        <v>0.99199999999999999</v>
      </c>
    </row>
    <row r="42" spans="1:16" x14ac:dyDescent="0.55000000000000004">
      <c r="A42" s="93"/>
      <c r="B42" s="94" t="s">
        <v>477</v>
      </c>
      <c r="C42" s="73" t="s">
        <v>265</v>
      </c>
      <c r="D42" s="73">
        <v>47029</v>
      </c>
      <c r="E42" s="74" t="s">
        <v>573</v>
      </c>
      <c r="F42" s="74">
        <v>0.68500000000000005</v>
      </c>
      <c r="G42" s="74">
        <v>0.04</v>
      </c>
      <c r="H42" s="74" t="s">
        <v>574</v>
      </c>
      <c r="I42" s="74">
        <v>0.66700000000000004</v>
      </c>
      <c r="J42" s="74">
        <v>0.01</v>
      </c>
      <c r="K42" s="75" t="s">
        <v>575</v>
      </c>
      <c r="L42" s="75">
        <v>0.69299999999999995</v>
      </c>
      <c r="M42" s="75" t="s">
        <v>18</v>
      </c>
      <c r="N42" s="75" t="s">
        <v>576</v>
      </c>
      <c r="O42" s="75">
        <v>0.67500000000000004</v>
      </c>
      <c r="P42" s="75" t="s">
        <v>18</v>
      </c>
    </row>
    <row r="43" spans="1:16" x14ac:dyDescent="0.55000000000000004">
      <c r="A43" s="93"/>
      <c r="B43" s="94"/>
      <c r="C43" s="73" t="s">
        <v>416</v>
      </c>
      <c r="D43" s="73">
        <v>25211</v>
      </c>
      <c r="E43" s="74" t="s">
        <v>577</v>
      </c>
      <c r="F43" s="74">
        <v>0.34599999999999997</v>
      </c>
      <c r="G43" s="74" t="s">
        <v>18</v>
      </c>
      <c r="H43" s="74" t="s">
        <v>578</v>
      </c>
      <c r="I43" s="74">
        <v>0.33800000000000002</v>
      </c>
      <c r="J43" s="74" t="s">
        <v>18</v>
      </c>
      <c r="K43" s="75" t="s">
        <v>579</v>
      </c>
      <c r="L43" s="75">
        <v>0.35899999999999999</v>
      </c>
      <c r="M43" s="75">
        <v>0.95</v>
      </c>
      <c r="N43" s="75" t="s">
        <v>580</v>
      </c>
      <c r="O43" s="75">
        <v>0.35199999999999998</v>
      </c>
      <c r="P43" s="75">
        <v>0.89900000000000002</v>
      </c>
    </row>
    <row r="44" spans="1:16" x14ac:dyDescent="0.55000000000000004">
      <c r="A44" s="93"/>
      <c r="B44" s="94"/>
      <c r="C44" s="73" t="s">
        <v>421</v>
      </c>
      <c r="D44" s="73">
        <v>21818</v>
      </c>
      <c r="E44" s="74" t="s">
        <v>581</v>
      </c>
      <c r="F44" s="74">
        <v>0.39</v>
      </c>
      <c r="G44" s="74">
        <v>2E-3</v>
      </c>
      <c r="H44" s="74" t="s">
        <v>582</v>
      </c>
      <c r="I44" s="74">
        <v>0.38600000000000001</v>
      </c>
      <c r="J44" s="74">
        <v>3.0000000000000001E-3</v>
      </c>
      <c r="K44" s="75" t="s">
        <v>583</v>
      </c>
      <c r="L44" s="75">
        <v>0.41</v>
      </c>
      <c r="M44" s="75" t="s">
        <v>18</v>
      </c>
      <c r="N44" s="75" t="s">
        <v>584</v>
      </c>
      <c r="O44" s="75">
        <v>0.40699999999999997</v>
      </c>
      <c r="P44" s="75" t="s">
        <v>18</v>
      </c>
    </row>
    <row r="45" spans="1:16" x14ac:dyDescent="0.55000000000000004">
      <c r="A45" s="93"/>
      <c r="B45" s="94" t="s">
        <v>490</v>
      </c>
      <c r="C45" s="73" t="s">
        <v>265</v>
      </c>
      <c r="D45" s="73">
        <v>37195</v>
      </c>
      <c r="E45" s="74" t="s">
        <v>585</v>
      </c>
      <c r="F45" s="74">
        <v>0.23100000000000001</v>
      </c>
      <c r="G45" s="74" t="s">
        <v>18</v>
      </c>
      <c r="H45" s="74" t="s">
        <v>586</v>
      </c>
      <c r="I45" s="74">
        <v>0.36399999999999999</v>
      </c>
      <c r="J45" s="74" t="s">
        <v>18</v>
      </c>
      <c r="K45" s="75" t="s">
        <v>587</v>
      </c>
      <c r="L45" s="75">
        <v>0.23100000000000001</v>
      </c>
      <c r="M45" s="75" t="s">
        <v>18</v>
      </c>
      <c r="N45" s="75" t="s">
        <v>588</v>
      </c>
      <c r="O45" s="75">
        <v>0.36399999999999999</v>
      </c>
      <c r="P45" s="75" t="s">
        <v>18</v>
      </c>
    </row>
    <row r="46" spans="1:16" x14ac:dyDescent="0.55000000000000004">
      <c r="A46" s="93"/>
      <c r="B46" s="94"/>
      <c r="C46" s="73" t="s">
        <v>416</v>
      </c>
      <c r="D46" s="73">
        <v>20048</v>
      </c>
      <c r="E46" s="74" t="s">
        <v>589</v>
      </c>
      <c r="F46" s="74">
        <v>0.23</v>
      </c>
      <c r="G46" s="74">
        <v>0.02</v>
      </c>
      <c r="H46" s="74" t="s">
        <v>590</v>
      </c>
      <c r="I46" s="74">
        <v>0.34899999999999998</v>
      </c>
      <c r="J46" s="74" t="s">
        <v>18</v>
      </c>
      <c r="K46" s="75" t="s">
        <v>591</v>
      </c>
      <c r="L46" s="75">
        <v>0.23</v>
      </c>
      <c r="M46" s="75">
        <v>1.4E-2</v>
      </c>
      <c r="N46" s="75" t="s">
        <v>592</v>
      </c>
      <c r="O46" s="75">
        <v>0.35</v>
      </c>
      <c r="P46" s="75" t="s">
        <v>18</v>
      </c>
    </row>
    <row r="47" spans="1:16" x14ac:dyDescent="0.55000000000000004">
      <c r="A47" s="93"/>
      <c r="B47" s="94"/>
      <c r="C47" s="73" t="s">
        <v>421</v>
      </c>
      <c r="D47" s="73">
        <v>17147</v>
      </c>
      <c r="E47" s="74" t="s">
        <v>593</v>
      </c>
      <c r="F47" s="74">
        <v>0.20899999999999999</v>
      </c>
      <c r="G47" s="74">
        <v>6.3E-2</v>
      </c>
      <c r="H47" s="74" t="s">
        <v>413</v>
      </c>
      <c r="I47" s="74">
        <v>0.28000000000000003</v>
      </c>
      <c r="J47" s="74">
        <v>0.52</v>
      </c>
      <c r="K47" s="75" t="s">
        <v>594</v>
      </c>
      <c r="L47" s="75">
        <v>0.21</v>
      </c>
      <c r="M47" s="75">
        <v>0.27900000000000003</v>
      </c>
      <c r="N47" s="75" t="s">
        <v>595</v>
      </c>
      <c r="O47" s="75">
        <v>0.28000000000000003</v>
      </c>
      <c r="P47" s="75">
        <v>0.95099999999999996</v>
      </c>
    </row>
    <row r="48" spans="1:16" x14ac:dyDescent="0.55000000000000004">
      <c r="A48" s="93"/>
      <c r="B48" s="94" t="s">
        <v>503</v>
      </c>
      <c r="C48" s="73" t="s">
        <v>265</v>
      </c>
      <c r="D48" s="73">
        <v>26991</v>
      </c>
      <c r="E48" s="74" t="s">
        <v>596</v>
      </c>
      <c r="F48" s="74">
        <v>0.25600000000000001</v>
      </c>
      <c r="G48" s="74">
        <v>0.11</v>
      </c>
      <c r="H48" s="74" t="s">
        <v>597</v>
      </c>
      <c r="I48" s="74">
        <v>0.35</v>
      </c>
      <c r="J48" s="74" t="s">
        <v>18</v>
      </c>
      <c r="K48" s="75" t="s">
        <v>598</v>
      </c>
      <c r="L48" s="75">
        <v>0.25600000000000001</v>
      </c>
      <c r="M48" s="75">
        <v>0.157</v>
      </c>
      <c r="N48" s="75" t="s">
        <v>599</v>
      </c>
      <c r="O48" s="75">
        <v>0.35</v>
      </c>
      <c r="P48" s="75" t="s">
        <v>18</v>
      </c>
    </row>
    <row r="49" spans="1:16" x14ac:dyDescent="0.55000000000000004">
      <c r="A49" s="93"/>
      <c r="B49" s="94"/>
      <c r="C49" s="73" t="s">
        <v>416</v>
      </c>
      <c r="D49" s="73">
        <v>14493</v>
      </c>
      <c r="E49" s="74" t="s">
        <v>600</v>
      </c>
      <c r="F49" s="74">
        <v>0.24199999999999999</v>
      </c>
      <c r="G49" s="74">
        <v>3.5000000000000003E-2</v>
      </c>
      <c r="H49" s="74" t="s">
        <v>601</v>
      </c>
      <c r="I49" s="74">
        <v>0.315</v>
      </c>
      <c r="J49" s="74" t="s">
        <v>18</v>
      </c>
      <c r="K49" s="75" t="s">
        <v>602</v>
      </c>
      <c r="L49" s="75">
        <v>0.24199999999999999</v>
      </c>
      <c r="M49" s="75">
        <v>2.5999999999999999E-2</v>
      </c>
      <c r="N49" s="75" t="s">
        <v>603</v>
      </c>
      <c r="O49" s="75">
        <v>0.316</v>
      </c>
      <c r="P49" s="75" t="s">
        <v>18</v>
      </c>
    </row>
    <row r="50" spans="1:16" x14ac:dyDescent="0.55000000000000004">
      <c r="A50" s="93"/>
      <c r="B50" s="94"/>
      <c r="C50" s="73" t="s">
        <v>421</v>
      </c>
      <c r="D50" s="73">
        <v>12498</v>
      </c>
      <c r="E50" s="74" t="s">
        <v>604</v>
      </c>
      <c r="F50" s="74">
        <v>0.153</v>
      </c>
      <c r="G50" s="74">
        <v>0.66800000000000004</v>
      </c>
      <c r="H50" s="74" t="s">
        <v>605</v>
      </c>
      <c r="I50" s="74">
        <v>0.19400000000000001</v>
      </c>
      <c r="J50" s="74">
        <v>0.61799999999999999</v>
      </c>
      <c r="K50" s="75" t="s">
        <v>606</v>
      </c>
      <c r="L50" s="75">
        <v>0.153</v>
      </c>
      <c r="M50" s="75">
        <v>0.999</v>
      </c>
      <c r="N50" s="75" t="s">
        <v>607</v>
      </c>
      <c r="O50" s="75">
        <v>0.19400000000000001</v>
      </c>
      <c r="P50" s="75">
        <v>0.39200000000000002</v>
      </c>
    </row>
    <row r="51" spans="1:16" x14ac:dyDescent="0.55000000000000004">
      <c r="A51" s="93" t="s">
        <v>128</v>
      </c>
      <c r="B51" s="94" t="s">
        <v>411</v>
      </c>
      <c r="C51" s="73" t="s">
        <v>265</v>
      </c>
      <c r="D51" s="73">
        <v>46939</v>
      </c>
      <c r="E51" s="74" t="s">
        <v>608</v>
      </c>
      <c r="F51" s="74">
        <v>9.9000000000000005E-2</v>
      </c>
      <c r="G51" s="74" t="s">
        <v>18</v>
      </c>
      <c r="H51" s="74" t="s">
        <v>609</v>
      </c>
      <c r="I51" s="74">
        <v>0.104</v>
      </c>
      <c r="J51" s="74" t="s">
        <v>18</v>
      </c>
      <c r="K51" s="75" t="s">
        <v>610</v>
      </c>
      <c r="L51" s="75">
        <v>0.182</v>
      </c>
      <c r="M51" s="75" t="s">
        <v>18</v>
      </c>
      <c r="N51" s="75" t="s">
        <v>611</v>
      </c>
      <c r="O51" s="75">
        <v>0.192</v>
      </c>
      <c r="P51" s="75" t="s">
        <v>18</v>
      </c>
    </row>
    <row r="52" spans="1:16" x14ac:dyDescent="0.55000000000000004">
      <c r="A52" s="93"/>
      <c r="B52" s="94"/>
      <c r="C52" s="73" t="s">
        <v>416</v>
      </c>
      <c r="D52" s="73">
        <v>25724</v>
      </c>
      <c r="E52" s="74" t="s">
        <v>612</v>
      </c>
      <c r="F52" s="74">
        <v>0.11899999999999999</v>
      </c>
      <c r="G52" s="74" t="s">
        <v>18</v>
      </c>
      <c r="H52" s="74" t="s">
        <v>613</v>
      </c>
      <c r="I52" s="74">
        <v>0.113</v>
      </c>
      <c r="J52" s="74" t="s">
        <v>18</v>
      </c>
      <c r="K52" s="75" t="s">
        <v>614</v>
      </c>
      <c r="L52" s="75">
        <v>0.22700000000000001</v>
      </c>
      <c r="M52" s="75" t="s">
        <v>18</v>
      </c>
      <c r="N52" s="75" t="s">
        <v>615</v>
      </c>
      <c r="O52" s="75">
        <v>0.22700000000000001</v>
      </c>
      <c r="P52" s="75" t="s">
        <v>18</v>
      </c>
    </row>
    <row r="53" spans="1:16" x14ac:dyDescent="0.55000000000000004">
      <c r="A53" s="93"/>
      <c r="B53" s="94"/>
      <c r="C53" s="73" t="s">
        <v>421</v>
      </c>
      <c r="D53" s="73">
        <v>21215</v>
      </c>
      <c r="E53" s="74" t="s">
        <v>616</v>
      </c>
      <c r="F53" s="74">
        <v>4.5999999999999999E-2</v>
      </c>
      <c r="G53" s="74" t="s">
        <v>18</v>
      </c>
      <c r="H53" s="74" t="s">
        <v>617</v>
      </c>
      <c r="I53" s="74">
        <v>4.3999999999999997E-2</v>
      </c>
      <c r="J53" s="74" t="s">
        <v>18</v>
      </c>
      <c r="K53" s="75" t="s">
        <v>618</v>
      </c>
      <c r="L53" s="75">
        <v>0.11</v>
      </c>
      <c r="M53" s="75" t="s">
        <v>18</v>
      </c>
      <c r="N53" s="75" t="s">
        <v>619</v>
      </c>
      <c r="O53" s="75">
        <v>0.11700000000000001</v>
      </c>
      <c r="P53" s="75" t="s">
        <v>18</v>
      </c>
    </row>
    <row r="54" spans="1:16" x14ac:dyDescent="0.55000000000000004">
      <c r="A54" s="93"/>
      <c r="B54" s="94" t="s">
        <v>426</v>
      </c>
      <c r="C54" s="73" t="s">
        <v>265</v>
      </c>
      <c r="D54" s="73">
        <v>46939</v>
      </c>
      <c r="E54" s="74" t="s">
        <v>620</v>
      </c>
      <c r="F54" s="74">
        <v>0.56000000000000005</v>
      </c>
      <c r="G54" s="74" t="s">
        <v>18</v>
      </c>
      <c r="H54" s="74" t="s">
        <v>621</v>
      </c>
      <c r="I54" s="74">
        <v>0.54700000000000004</v>
      </c>
      <c r="J54" s="74" t="s">
        <v>18</v>
      </c>
      <c r="K54" s="75" t="s">
        <v>620</v>
      </c>
      <c r="L54" s="75">
        <v>0.56000000000000005</v>
      </c>
      <c r="M54" s="75" t="s">
        <v>18</v>
      </c>
      <c r="N54" s="75" t="s">
        <v>622</v>
      </c>
      <c r="O54" s="75">
        <v>0.54800000000000004</v>
      </c>
      <c r="P54" s="75" t="s">
        <v>18</v>
      </c>
    </row>
    <row r="55" spans="1:16" x14ac:dyDescent="0.55000000000000004">
      <c r="A55" s="93"/>
      <c r="B55" s="94"/>
      <c r="C55" s="73" t="s">
        <v>416</v>
      </c>
      <c r="D55" s="73">
        <v>25724</v>
      </c>
      <c r="E55" s="74" t="s">
        <v>623</v>
      </c>
      <c r="F55" s="74">
        <v>0.19700000000000001</v>
      </c>
      <c r="G55" s="74" t="s">
        <v>18</v>
      </c>
      <c r="H55" s="74" t="s">
        <v>624</v>
      </c>
      <c r="I55" s="74">
        <v>0.19500000000000001</v>
      </c>
      <c r="J55" s="74" t="s">
        <v>18</v>
      </c>
      <c r="K55" s="75" t="s">
        <v>625</v>
      </c>
      <c r="L55" s="75">
        <v>0.19800000000000001</v>
      </c>
      <c r="M55" s="75" t="s">
        <v>18</v>
      </c>
      <c r="N55" s="75" t="s">
        <v>626</v>
      </c>
      <c r="O55" s="75">
        <v>0.19700000000000001</v>
      </c>
      <c r="P55" s="75" t="s">
        <v>18</v>
      </c>
    </row>
    <row r="56" spans="1:16" x14ac:dyDescent="0.55000000000000004">
      <c r="A56" s="93"/>
      <c r="B56" s="94"/>
      <c r="C56" s="73" t="s">
        <v>421</v>
      </c>
      <c r="D56" s="73">
        <v>21215</v>
      </c>
      <c r="E56" s="74" t="s">
        <v>620</v>
      </c>
      <c r="F56" s="74">
        <v>0.34300000000000003</v>
      </c>
      <c r="G56" s="74" t="s">
        <v>18</v>
      </c>
      <c r="H56" s="74" t="s">
        <v>627</v>
      </c>
      <c r="I56" s="74">
        <v>0.34399999999999997</v>
      </c>
      <c r="J56" s="74" t="s">
        <v>18</v>
      </c>
      <c r="K56" s="75" t="s">
        <v>628</v>
      </c>
      <c r="L56" s="75">
        <v>0.34699999999999998</v>
      </c>
      <c r="M56" s="75" t="s">
        <v>18</v>
      </c>
      <c r="N56" s="75" t="s">
        <v>629</v>
      </c>
      <c r="O56" s="75">
        <v>0.34699999999999998</v>
      </c>
      <c r="P56" s="75" t="s">
        <v>18</v>
      </c>
    </row>
    <row r="57" spans="1:16" x14ac:dyDescent="0.55000000000000004">
      <c r="A57" s="93"/>
      <c r="B57" s="94" t="s">
        <v>438</v>
      </c>
      <c r="C57" s="73" t="s">
        <v>265</v>
      </c>
      <c r="D57" s="73">
        <v>46939</v>
      </c>
      <c r="E57" s="78" t="s">
        <v>630</v>
      </c>
      <c r="F57" s="74">
        <v>0.66600000000000004</v>
      </c>
      <c r="G57" s="74" t="s">
        <v>18</v>
      </c>
      <c r="H57" s="79" t="s">
        <v>631</v>
      </c>
      <c r="I57" s="74">
        <v>0.67200000000000004</v>
      </c>
      <c r="J57" s="74" t="s">
        <v>18</v>
      </c>
      <c r="K57" s="80" t="s">
        <v>632</v>
      </c>
      <c r="L57" s="75">
        <v>0.66600000000000004</v>
      </c>
      <c r="M57" s="75" t="s">
        <v>18</v>
      </c>
      <c r="N57" s="81" t="s">
        <v>633</v>
      </c>
      <c r="O57" s="75">
        <v>0.67200000000000004</v>
      </c>
      <c r="P57" s="75" t="s">
        <v>18</v>
      </c>
    </row>
    <row r="58" spans="1:16" x14ac:dyDescent="0.55000000000000004">
      <c r="A58" s="93"/>
      <c r="B58" s="94"/>
      <c r="C58" s="73" t="s">
        <v>416</v>
      </c>
      <c r="D58" s="73">
        <v>25724</v>
      </c>
      <c r="E58" s="74" t="s">
        <v>634</v>
      </c>
      <c r="F58" s="74">
        <v>0.63500000000000001</v>
      </c>
      <c r="G58" s="74" t="s">
        <v>18</v>
      </c>
      <c r="H58" s="74" t="s">
        <v>635</v>
      </c>
      <c r="I58" s="74">
        <v>0.622</v>
      </c>
      <c r="J58" s="74">
        <v>0.25</v>
      </c>
      <c r="K58" s="75" t="s">
        <v>557</v>
      </c>
      <c r="L58" s="75">
        <v>0.63500000000000001</v>
      </c>
      <c r="M58" s="75">
        <v>1E-3</v>
      </c>
      <c r="N58" s="75" t="s">
        <v>636</v>
      </c>
      <c r="O58" s="75">
        <v>0.622</v>
      </c>
      <c r="P58" s="75">
        <v>0.93300000000000005</v>
      </c>
    </row>
    <row r="59" spans="1:16" x14ac:dyDescent="0.55000000000000004">
      <c r="A59" s="93"/>
      <c r="B59" s="94"/>
      <c r="C59" s="73" t="s">
        <v>421</v>
      </c>
      <c r="D59" s="73">
        <v>21215</v>
      </c>
      <c r="E59" s="74" t="s">
        <v>637</v>
      </c>
      <c r="F59" s="74">
        <v>0.627</v>
      </c>
      <c r="G59" s="74" t="s">
        <v>18</v>
      </c>
      <c r="H59" s="74" t="s">
        <v>638</v>
      </c>
      <c r="I59" s="74">
        <v>0.61299999999999999</v>
      </c>
      <c r="J59" s="74">
        <v>7.0000000000000001E-3</v>
      </c>
      <c r="K59" s="75" t="s">
        <v>639</v>
      </c>
      <c r="L59" s="75">
        <v>0.628</v>
      </c>
      <c r="M59" s="75" t="s">
        <v>18</v>
      </c>
      <c r="N59" s="75" t="s">
        <v>640</v>
      </c>
      <c r="O59" s="75">
        <v>0.61399999999999999</v>
      </c>
      <c r="P59" s="75" t="s">
        <v>18</v>
      </c>
    </row>
    <row r="60" spans="1:16" x14ac:dyDescent="0.55000000000000004">
      <c r="A60" s="93"/>
      <c r="B60" s="94" t="s">
        <v>451</v>
      </c>
      <c r="C60" s="73" t="s">
        <v>265</v>
      </c>
      <c r="D60" s="73">
        <v>46939</v>
      </c>
      <c r="E60" s="74" t="s">
        <v>641</v>
      </c>
      <c r="F60" s="74">
        <v>0.84199999999999997</v>
      </c>
      <c r="G60" s="74" t="s">
        <v>18</v>
      </c>
      <c r="H60" s="74" t="s">
        <v>642</v>
      </c>
      <c r="I60" s="74">
        <v>0.80300000000000005</v>
      </c>
      <c r="J60" s="74" t="s">
        <v>18</v>
      </c>
      <c r="K60" s="75" t="s">
        <v>643</v>
      </c>
      <c r="L60" s="75">
        <v>0.84499999999999997</v>
      </c>
      <c r="M60" s="75" t="s">
        <v>18</v>
      </c>
      <c r="N60" s="75" t="s">
        <v>556</v>
      </c>
      <c r="O60" s="75">
        <v>0.80500000000000005</v>
      </c>
      <c r="P60" s="75" t="s">
        <v>18</v>
      </c>
    </row>
    <row r="61" spans="1:16" x14ac:dyDescent="0.55000000000000004">
      <c r="A61" s="93"/>
      <c r="B61" s="94"/>
      <c r="C61" s="73" t="s">
        <v>416</v>
      </c>
      <c r="D61" s="73">
        <v>25724</v>
      </c>
      <c r="E61" s="74" t="s">
        <v>644</v>
      </c>
      <c r="F61" s="74">
        <v>0.84399999999999997</v>
      </c>
      <c r="G61" s="74" t="s">
        <v>18</v>
      </c>
      <c r="H61" s="74" t="s">
        <v>645</v>
      </c>
      <c r="I61" s="74">
        <v>0.80200000000000005</v>
      </c>
      <c r="J61" s="74" t="s">
        <v>18</v>
      </c>
      <c r="K61" s="75" t="s">
        <v>646</v>
      </c>
      <c r="L61" s="75">
        <v>0.84599999999999997</v>
      </c>
      <c r="M61" s="75" t="s">
        <v>18</v>
      </c>
      <c r="N61" s="75" t="s">
        <v>647</v>
      </c>
      <c r="O61" s="75">
        <v>0.80400000000000005</v>
      </c>
      <c r="P61" s="75" t="s">
        <v>18</v>
      </c>
    </row>
    <row r="62" spans="1:16" x14ac:dyDescent="0.55000000000000004">
      <c r="A62" s="93"/>
      <c r="B62" s="94"/>
      <c r="C62" s="73" t="s">
        <v>421</v>
      </c>
      <c r="D62" s="73">
        <v>21215</v>
      </c>
      <c r="E62" s="74" t="s">
        <v>648</v>
      </c>
      <c r="F62" s="74">
        <v>0.73299999999999998</v>
      </c>
      <c r="G62" s="74" t="s">
        <v>18</v>
      </c>
      <c r="H62" s="74" t="s">
        <v>649</v>
      </c>
      <c r="I62" s="74">
        <v>0.70599999999999996</v>
      </c>
      <c r="J62" s="74" t="s">
        <v>18</v>
      </c>
      <c r="K62" s="75" t="s">
        <v>650</v>
      </c>
      <c r="L62" s="75">
        <v>0.74299999999999999</v>
      </c>
      <c r="M62" s="75">
        <v>5.0000000000000001E-3</v>
      </c>
      <c r="N62" s="75" t="s">
        <v>651</v>
      </c>
      <c r="O62" s="75">
        <v>0.71299999999999997</v>
      </c>
      <c r="P62" s="75" t="s">
        <v>18</v>
      </c>
    </row>
    <row r="63" spans="1:16" x14ac:dyDescent="0.55000000000000004">
      <c r="A63" s="93"/>
      <c r="B63" s="94" t="s">
        <v>464</v>
      </c>
      <c r="C63" s="73" t="s">
        <v>265</v>
      </c>
      <c r="D63" s="73">
        <v>46939</v>
      </c>
      <c r="E63" s="74" t="s">
        <v>652</v>
      </c>
      <c r="F63" s="74">
        <v>0.40200000000000002</v>
      </c>
      <c r="G63" s="74" t="s">
        <v>18</v>
      </c>
      <c r="H63" s="74" t="s">
        <v>653</v>
      </c>
      <c r="I63" s="74">
        <v>0.41099999999999998</v>
      </c>
      <c r="J63" s="74" t="s">
        <v>18</v>
      </c>
      <c r="K63" s="75" t="s">
        <v>571</v>
      </c>
      <c r="L63" s="75">
        <v>0.40600000000000003</v>
      </c>
      <c r="M63" s="75">
        <v>0.183</v>
      </c>
      <c r="N63" s="75" t="s">
        <v>654</v>
      </c>
      <c r="O63" s="75">
        <v>0.41399999999999998</v>
      </c>
      <c r="P63" s="75">
        <v>1E-3</v>
      </c>
    </row>
    <row r="64" spans="1:16" x14ac:dyDescent="0.55000000000000004">
      <c r="A64" s="93"/>
      <c r="B64" s="94"/>
      <c r="C64" s="73" t="s">
        <v>416</v>
      </c>
      <c r="D64" s="73">
        <v>25724</v>
      </c>
      <c r="E64" s="74" t="s">
        <v>655</v>
      </c>
      <c r="F64" s="74">
        <v>0.371</v>
      </c>
      <c r="G64" s="74">
        <v>8.0000000000000002E-3</v>
      </c>
      <c r="H64" s="74" t="s">
        <v>656</v>
      </c>
      <c r="I64" s="74">
        <v>0.377</v>
      </c>
      <c r="J64" s="74" t="s">
        <v>18</v>
      </c>
      <c r="K64" s="75" t="s">
        <v>657</v>
      </c>
      <c r="L64" s="75">
        <v>0.375</v>
      </c>
      <c r="M64" s="75">
        <v>0.96699999999999997</v>
      </c>
      <c r="N64" s="75" t="s">
        <v>658</v>
      </c>
      <c r="O64" s="75">
        <v>0.38100000000000001</v>
      </c>
      <c r="P64" s="75">
        <v>3.1E-2</v>
      </c>
    </row>
    <row r="65" spans="1:16" x14ac:dyDescent="0.55000000000000004">
      <c r="A65" s="93"/>
      <c r="B65" s="94"/>
      <c r="C65" s="73" t="s">
        <v>421</v>
      </c>
      <c r="D65" s="73">
        <v>21215</v>
      </c>
      <c r="E65" s="74" t="s">
        <v>659</v>
      </c>
      <c r="F65" s="74">
        <v>0.34899999999999998</v>
      </c>
      <c r="G65" s="74">
        <v>4.0000000000000001E-3</v>
      </c>
      <c r="H65" s="74" t="s">
        <v>660</v>
      </c>
      <c r="I65" s="74">
        <v>0.35699999999999998</v>
      </c>
      <c r="J65" s="74">
        <v>1E-3</v>
      </c>
      <c r="K65" s="75" t="s">
        <v>661</v>
      </c>
      <c r="L65" s="75">
        <v>0.35299999999999998</v>
      </c>
      <c r="M65" s="75">
        <v>0.68300000000000005</v>
      </c>
      <c r="N65" s="75" t="s">
        <v>662</v>
      </c>
      <c r="O65" s="75">
        <v>0.36099999999999999</v>
      </c>
      <c r="P65" s="75">
        <v>0.35099999999999998</v>
      </c>
    </row>
    <row r="66" spans="1:16" x14ac:dyDescent="0.55000000000000004">
      <c r="A66" s="93"/>
      <c r="B66" s="94" t="s">
        <v>477</v>
      </c>
      <c r="C66" s="73" t="s">
        <v>265</v>
      </c>
      <c r="D66" s="73">
        <v>46939</v>
      </c>
      <c r="E66" s="74" t="s">
        <v>663</v>
      </c>
      <c r="F66" s="74">
        <v>0.68200000000000005</v>
      </c>
      <c r="G66" s="74" t="s">
        <v>18</v>
      </c>
      <c r="H66" s="74" t="s">
        <v>664</v>
      </c>
      <c r="I66" s="74">
        <v>0.66100000000000003</v>
      </c>
      <c r="J66" s="74">
        <v>4.2000000000000003E-2</v>
      </c>
      <c r="K66" s="75" t="s">
        <v>665</v>
      </c>
      <c r="L66" s="75">
        <v>0.7</v>
      </c>
      <c r="M66" s="75" t="s">
        <v>18</v>
      </c>
      <c r="N66" s="75" t="s">
        <v>666</v>
      </c>
      <c r="O66" s="75">
        <v>0.68100000000000005</v>
      </c>
      <c r="P66" s="75" t="s">
        <v>18</v>
      </c>
    </row>
    <row r="67" spans="1:16" x14ac:dyDescent="0.55000000000000004">
      <c r="A67" s="93"/>
      <c r="B67" s="94"/>
      <c r="C67" s="73" t="s">
        <v>416</v>
      </c>
      <c r="D67" s="73">
        <v>25724</v>
      </c>
      <c r="E67" s="74" t="s">
        <v>667</v>
      </c>
      <c r="F67" s="74">
        <v>0.34100000000000003</v>
      </c>
      <c r="G67" s="74" t="s">
        <v>18</v>
      </c>
      <c r="H67" s="74" t="s">
        <v>668</v>
      </c>
      <c r="I67" s="74">
        <v>0.33300000000000002</v>
      </c>
      <c r="J67" s="74" t="s">
        <v>18</v>
      </c>
      <c r="K67" s="75" t="s">
        <v>669</v>
      </c>
      <c r="L67" s="75">
        <v>0.38</v>
      </c>
      <c r="M67" s="75">
        <v>5.2999999999999999E-2</v>
      </c>
      <c r="N67" s="75" t="s">
        <v>670</v>
      </c>
      <c r="O67" s="75">
        <v>0.372</v>
      </c>
      <c r="P67" s="75">
        <v>6.4000000000000001E-2</v>
      </c>
    </row>
    <row r="68" spans="1:16" x14ac:dyDescent="0.55000000000000004">
      <c r="A68" s="93"/>
      <c r="B68" s="94"/>
      <c r="C68" s="73" t="s">
        <v>421</v>
      </c>
      <c r="D68" s="73">
        <v>21215</v>
      </c>
      <c r="E68" s="74" t="s">
        <v>671</v>
      </c>
      <c r="F68" s="74">
        <v>0.377</v>
      </c>
      <c r="G68" s="74" t="s">
        <v>18</v>
      </c>
      <c r="H68" s="74" t="s">
        <v>672</v>
      </c>
      <c r="I68" s="74">
        <v>0.373</v>
      </c>
      <c r="J68" s="74" t="s">
        <v>18</v>
      </c>
      <c r="K68" s="75" t="s">
        <v>673</v>
      </c>
      <c r="L68" s="75">
        <v>0.41699999999999998</v>
      </c>
      <c r="M68" s="75" t="s">
        <v>18</v>
      </c>
      <c r="N68" s="75" t="s">
        <v>674</v>
      </c>
      <c r="O68" s="75">
        <v>0.41499999999999998</v>
      </c>
      <c r="P68" s="75" t="s">
        <v>18</v>
      </c>
    </row>
    <row r="69" spans="1:16" x14ac:dyDescent="0.55000000000000004">
      <c r="A69" s="93"/>
      <c r="B69" s="94" t="s">
        <v>490</v>
      </c>
      <c r="C69" s="73" t="s">
        <v>265</v>
      </c>
      <c r="D69" s="73">
        <v>37222</v>
      </c>
      <c r="E69" s="74" t="s">
        <v>675</v>
      </c>
      <c r="F69" s="74">
        <v>0.23300000000000001</v>
      </c>
      <c r="G69" s="74">
        <v>4.8000000000000001E-2</v>
      </c>
      <c r="H69" s="74" t="s">
        <v>676</v>
      </c>
      <c r="I69" s="74">
        <v>0.36499999999999999</v>
      </c>
      <c r="J69" s="74">
        <v>5.3999999999999999E-2</v>
      </c>
      <c r="K69" s="75" t="s">
        <v>677</v>
      </c>
      <c r="L69" s="75">
        <v>0.23300000000000001</v>
      </c>
      <c r="M69" s="75">
        <v>0.1</v>
      </c>
      <c r="N69" s="75" t="s">
        <v>678</v>
      </c>
      <c r="O69" s="75">
        <v>0.36499999999999999</v>
      </c>
      <c r="P69" s="75">
        <v>0.17899999999999999</v>
      </c>
    </row>
    <row r="70" spans="1:16" x14ac:dyDescent="0.55000000000000004">
      <c r="A70" s="93"/>
      <c r="B70" s="94"/>
      <c r="C70" s="73" t="s">
        <v>416</v>
      </c>
      <c r="D70" s="73">
        <v>20466</v>
      </c>
      <c r="E70" s="74" t="s">
        <v>679</v>
      </c>
      <c r="F70" s="74">
        <v>0.23</v>
      </c>
      <c r="G70" s="74" t="s">
        <v>18</v>
      </c>
      <c r="H70" s="74" t="s">
        <v>680</v>
      </c>
      <c r="I70" s="74">
        <v>0.35</v>
      </c>
      <c r="J70" s="74" t="s">
        <v>18</v>
      </c>
      <c r="K70" s="75" t="s">
        <v>681</v>
      </c>
      <c r="L70" s="75">
        <v>0.23100000000000001</v>
      </c>
      <c r="M70" s="75" t="s">
        <v>18</v>
      </c>
      <c r="N70" s="75" t="s">
        <v>682</v>
      </c>
      <c r="O70" s="75">
        <v>0.35099999999999998</v>
      </c>
      <c r="P70" s="75" t="s">
        <v>18</v>
      </c>
    </row>
    <row r="71" spans="1:16" x14ac:dyDescent="0.55000000000000004">
      <c r="A71" s="93"/>
      <c r="B71" s="94"/>
      <c r="C71" s="73" t="s">
        <v>421</v>
      </c>
      <c r="D71" s="73">
        <v>16756</v>
      </c>
      <c r="E71" s="74" t="s">
        <v>683</v>
      </c>
      <c r="F71" s="74">
        <v>0.221</v>
      </c>
      <c r="G71" s="74">
        <v>1E-3</v>
      </c>
      <c r="H71" s="74" t="s">
        <v>684</v>
      </c>
      <c r="I71" s="74">
        <v>0.30599999999999999</v>
      </c>
      <c r="J71" s="74">
        <v>1E-3</v>
      </c>
      <c r="K71" s="75" t="s">
        <v>685</v>
      </c>
      <c r="L71" s="75">
        <v>0.221</v>
      </c>
      <c r="M71" s="75">
        <v>1E-3</v>
      </c>
      <c r="N71" s="75" t="s">
        <v>686</v>
      </c>
      <c r="O71" s="75">
        <v>0.30599999999999999</v>
      </c>
      <c r="P71" s="75">
        <v>5.0000000000000001E-3</v>
      </c>
    </row>
    <row r="72" spans="1:16" x14ac:dyDescent="0.55000000000000004">
      <c r="A72" s="93"/>
      <c r="B72" s="94" t="s">
        <v>503</v>
      </c>
      <c r="C72" s="73" t="s">
        <v>265</v>
      </c>
      <c r="D72" s="73">
        <v>26728</v>
      </c>
      <c r="E72" s="74" t="s">
        <v>687</v>
      </c>
      <c r="F72" s="74">
        <v>0.255</v>
      </c>
      <c r="G72" s="74">
        <v>0.39500000000000002</v>
      </c>
      <c r="H72" s="74" t="s">
        <v>688</v>
      </c>
      <c r="I72" s="74">
        <v>0.34699999999999998</v>
      </c>
      <c r="J72" s="74">
        <v>0.97</v>
      </c>
      <c r="K72" s="75" t="s">
        <v>689</v>
      </c>
      <c r="L72" s="75">
        <v>0.255</v>
      </c>
      <c r="M72" s="75">
        <v>0.41199999999999998</v>
      </c>
      <c r="N72" s="75" t="s">
        <v>690</v>
      </c>
      <c r="O72" s="75">
        <v>0.34699999999999998</v>
      </c>
      <c r="P72" s="75">
        <v>0.84199999999999997</v>
      </c>
    </row>
    <row r="73" spans="1:16" x14ac:dyDescent="0.55000000000000004">
      <c r="A73" s="93"/>
      <c r="B73" s="94"/>
      <c r="C73" s="73" t="s">
        <v>416</v>
      </c>
      <c r="D73" s="73">
        <v>14627</v>
      </c>
      <c r="E73" s="74" t="s">
        <v>691</v>
      </c>
      <c r="F73" s="74">
        <v>0.24099999999999999</v>
      </c>
      <c r="G73" s="74">
        <v>6.5000000000000002E-2</v>
      </c>
      <c r="H73" s="74" t="s">
        <v>692</v>
      </c>
      <c r="I73" s="74">
        <v>0.317</v>
      </c>
      <c r="J73" s="74">
        <v>0.89500000000000002</v>
      </c>
      <c r="K73" s="75" t="s">
        <v>693</v>
      </c>
      <c r="L73" s="75">
        <v>0.24099999999999999</v>
      </c>
      <c r="M73" s="75">
        <v>0.12</v>
      </c>
      <c r="N73" s="75" t="s">
        <v>694</v>
      </c>
      <c r="O73" s="75">
        <v>0.318</v>
      </c>
      <c r="P73" s="75">
        <v>0.69599999999999995</v>
      </c>
    </row>
    <row r="74" spans="1:16" x14ac:dyDescent="0.55000000000000004">
      <c r="A74" s="93"/>
      <c r="B74" s="94"/>
      <c r="C74" s="73" t="s">
        <v>421</v>
      </c>
      <c r="D74" s="73">
        <v>12101</v>
      </c>
      <c r="E74" s="74" t="s">
        <v>695</v>
      </c>
      <c r="F74" s="74">
        <v>0.16700000000000001</v>
      </c>
      <c r="G74" s="74">
        <v>8.5000000000000006E-2</v>
      </c>
      <c r="H74" s="74" t="s">
        <v>696</v>
      </c>
      <c r="I74" s="74">
        <v>0.218</v>
      </c>
      <c r="J74" s="74">
        <v>5.7000000000000002E-2</v>
      </c>
      <c r="K74" s="75" t="s">
        <v>697</v>
      </c>
      <c r="L74" s="75">
        <v>0.16700000000000001</v>
      </c>
      <c r="M74" s="75">
        <v>5.6000000000000001E-2</v>
      </c>
      <c r="N74" s="75" t="s">
        <v>698</v>
      </c>
      <c r="O74" s="75">
        <v>0.218</v>
      </c>
      <c r="P74" s="75">
        <v>5.2999999999999999E-2</v>
      </c>
    </row>
    <row r="75" spans="1:16" x14ac:dyDescent="0.55000000000000004">
      <c r="A75" s="93" t="s">
        <v>129</v>
      </c>
      <c r="B75" s="94" t="s">
        <v>411</v>
      </c>
      <c r="C75" s="73" t="s">
        <v>265</v>
      </c>
      <c r="D75" s="73">
        <v>45717</v>
      </c>
      <c r="E75" s="74" t="s">
        <v>699</v>
      </c>
      <c r="F75" s="74">
        <v>6.2E-2</v>
      </c>
      <c r="G75" s="74" t="s">
        <v>18</v>
      </c>
      <c r="H75" s="74" t="s">
        <v>700</v>
      </c>
      <c r="I75" s="74">
        <v>6.9000000000000006E-2</v>
      </c>
      <c r="J75" s="74" t="s">
        <v>18</v>
      </c>
      <c r="K75" s="75" t="s">
        <v>701</v>
      </c>
      <c r="L75" s="75">
        <v>0.14799999999999999</v>
      </c>
      <c r="M75" s="75" t="s">
        <v>18</v>
      </c>
      <c r="N75" s="75" t="s">
        <v>702</v>
      </c>
      <c r="O75" s="75">
        <v>0.159</v>
      </c>
      <c r="P75" s="75" t="s">
        <v>18</v>
      </c>
    </row>
    <row r="76" spans="1:16" x14ac:dyDescent="0.55000000000000004">
      <c r="A76" s="93"/>
      <c r="B76" s="94"/>
      <c r="C76" s="73" t="s">
        <v>416</v>
      </c>
      <c r="D76" s="73">
        <v>25260</v>
      </c>
      <c r="E76" s="74" t="s">
        <v>703</v>
      </c>
      <c r="F76" s="74">
        <v>0.06</v>
      </c>
      <c r="G76" s="74" t="s">
        <v>18</v>
      </c>
      <c r="H76" s="74" t="s">
        <v>704</v>
      </c>
      <c r="I76" s="74">
        <v>5.3999999999999999E-2</v>
      </c>
      <c r="J76" s="74" t="s">
        <v>18</v>
      </c>
      <c r="K76" s="75" t="s">
        <v>705</v>
      </c>
      <c r="L76" s="75">
        <v>0.16900000000000001</v>
      </c>
      <c r="M76" s="75" t="s">
        <v>18</v>
      </c>
      <c r="N76" s="75" t="s">
        <v>706</v>
      </c>
      <c r="O76" s="75">
        <v>0.16800000000000001</v>
      </c>
      <c r="P76" s="75" t="s">
        <v>18</v>
      </c>
    </row>
    <row r="77" spans="1:16" x14ac:dyDescent="0.55000000000000004">
      <c r="A77" s="93"/>
      <c r="B77" s="94"/>
      <c r="C77" s="73" t="s">
        <v>421</v>
      </c>
      <c r="D77" s="73">
        <v>20457</v>
      </c>
      <c r="E77" s="74" t="s">
        <v>707</v>
      </c>
      <c r="F77" s="74">
        <v>2.3E-2</v>
      </c>
      <c r="G77" s="74" t="s">
        <v>18</v>
      </c>
      <c r="H77" s="74" t="s">
        <v>708</v>
      </c>
      <c r="I77" s="74">
        <v>0.02</v>
      </c>
      <c r="J77" s="74" t="s">
        <v>18</v>
      </c>
      <c r="K77" s="75" t="s">
        <v>709</v>
      </c>
      <c r="L77" s="75">
        <v>8.8999999999999996E-2</v>
      </c>
      <c r="M77" s="75" t="s">
        <v>18</v>
      </c>
      <c r="N77" s="75" t="s">
        <v>710</v>
      </c>
      <c r="O77" s="75">
        <v>9.2999999999999999E-2</v>
      </c>
      <c r="P77" s="75" t="s">
        <v>18</v>
      </c>
    </row>
    <row r="78" spans="1:16" x14ac:dyDescent="0.55000000000000004">
      <c r="A78" s="93"/>
      <c r="B78" s="94" t="s">
        <v>426</v>
      </c>
      <c r="C78" s="73" t="s">
        <v>265</v>
      </c>
      <c r="D78" s="73">
        <v>45717</v>
      </c>
      <c r="E78" s="74" t="s">
        <v>620</v>
      </c>
      <c r="F78" s="74">
        <v>0.56999999999999995</v>
      </c>
      <c r="G78" s="74" t="s">
        <v>18</v>
      </c>
      <c r="H78" s="74" t="s">
        <v>711</v>
      </c>
      <c r="I78" s="74">
        <v>0.55600000000000005</v>
      </c>
      <c r="J78" s="74" t="s">
        <v>18</v>
      </c>
      <c r="K78" s="75" t="s">
        <v>620</v>
      </c>
      <c r="L78" s="75">
        <v>0.56999999999999995</v>
      </c>
      <c r="M78" s="75" t="s">
        <v>18</v>
      </c>
      <c r="N78" s="75" t="s">
        <v>712</v>
      </c>
      <c r="O78" s="75">
        <v>0.55600000000000005</v>
      </c>
      <c r="P78" s="75" t="s">
        <v>18</v>
      </c>
    </row>
    <row r="79" spans="1:16" x14ac:dyDescent="0.55000000000000004">
      <c r="A79" s="93"/>
      <c r="B79" s="94"/>
      <c r="C79" s="73" t="s">
        <v>416</v>
      </c>
      <c r="D79" s="73">
        <v>25260</v>
      </c>
      <c r="E79" s="74" t="s">
        <v>628</v>
      </c>
      <c r="F79" s="74">
        <v>0.19800000000000001</v>
      </c>
      <c r="G79" s="74" t="s">
        <v>18</v>
      </c>
      <c r="H79" s="74" t="s">
        <v>713</v>
      </c>
      <c r="I79" s="74">
        <v>0.19700000000000001</v>
      </c>
      <c r="J79" s="74" t="s">
        <v>18</v>
      </c>
      <c r="K79" s="75" t="s">
        <v>628</v>
      </c>
      <c r="L79" s="75">
        <v>0.19900000000000001</v>
      </c>
      <c r="M79" s="75" t="s">
        <v>18</v>
      </c>
      <c r="N79" s="75" t="s">
        <v>714</v>
      </c>
      <c r="O79" s="75">
        <v>0.19800000000000001</v>
      </c>
      <c r="P79" s="75" t="s">
        <v>18</v>
      </c>
    </row>
    <row r="80" spans="1:16" x14ac:dyDescent="0.55000000000000004">
      <c r="A80" s="93"/>
      <c r="B80" s="94"/>
      <c r="C80" s="73" t="s">
        <v>421</v>
      </c>
      <c r="D80" s="73">
        <v>20457</v>
      </c>
      <c r="E80" s="74" t="s">
        <v>620</v>
      </c>
      <c r="F80" s="74">
        <v>0.33700000000000002</v>
      </c>
      <c r="G80" s="74" t="s">
        <v>18</v>
      </c>
      <c r="H80" s="74" t="s">
        <v>715</v>
      </c>
      <c r="I80" s="74">
        <v>0.33700000000000002</v>
      </c>
      <c r="J80" s="74" t="s">
        <v>18</v>
      </c>
      <c r="K80" s="75" t="s">
        <v>628</v>
      </c>
      <c r="L80" s="75">
        <v>0.34</v>
      </c>
      <c r="M80" s="75" t="s">
        <v>18</v>
      </c>
      <c r="N80" s="75" t="s">
        <v>716</v>
      </c>
      <c r="O80" s="75">
        <v>0.34100000000000003</v>
      </c>
      <c r="P80" s="75" t="s">
        <v>18</v>
      </c>
    </row>
    <row r="81" spans="1:16" x14ac:dyDescent="0.55000000000000004">
      <c r="A81" s="93"/>
      <c r="B81" s="94" t="s">
        <v>438</v>
      </c>
      <c r="C81" s="73" t="s">
        <v>265</v>
      </c>
      <c r="D81" s="73">
        <v>45717</v>
      </c>
      <c r="E81" s="74" t="s">
        <v>717</v>
      </c>
      <c r="F81" s="74">
        <v>0.67500000000000004</v>
      </c>
      <c r="G81" s="74" t="s">
        <v>18</v>
      </c>
      <c r="H81" s="74" t="s">
        <v>718</v>
      </c>
      <c r="I81" s="74">
        <v>0.68200000000000005</v>
      </c>
      <c r="J81" s="74" t="s">
        <v>18</v>
      </c>
      <c r="K81" s="75" t="s">
        <v>719</v>
      </c>
      <c r="L81" s="75">
        <v>0.67500000000000004</v>
      </c>
      <c r="M81" s="75" t="s">
        <v>18</v>
      </c>
      <c r="N81" s="75" t="s">
        <v>720</v>
      </c>
      <c r="O81" s="75">
        <v>0.68300000000000005</v>
      </c>
      <c r="P81" s="75" t="s">
        <v>18</v>
      </c>
    </row>
    <row r="82" spans="1:16" x14ac:dyDescent="0.55000000000000004">
      <c r="A82" s="93"/>
      <c r="B82" s="94"/>
      <c r="C82" s="73" t="s">
        <v>416</v>
      </c>
      <c r="D82" s="73">
        <v>25260</v>
      </c>
      <c r="E82" s="74" t="s">
        <v>721</v>
      </c>
      <c r="F82" s="74">
        <v>0.63900000000000001</v>
      </c>
      <c r="G82" s="74" t="s">
        <v>18</v>
      </c>
      <c r="H82" s="74" t="s">
        <v>722</v>
      </c>
      <c r="I82" s="74">
        <v>0.626</v>
      </c>
      <c r="J82" s="74" t="s">
        <v>18</v>
      </c>
      <c r="K82" s="75" t="s">
        <v>723</v>
      </c>
      <c r="L82" s="75">
        <v>0.63900000000000001</v>
      </c>
      <c r="M82" s="75" t="s">
        <v>18</v>
      </c>
      <c r="N82" s="75" t="s">
        <v>724</v>
      </c>
      <c r="O82" s="75">
        <v>0.626</v>
      </c>
      <c r="P82" s="75" t="s">
        <v>18</v>
      </c>
    </row>
    <row r="83" spans="1:16" x14ac:dyDescent="0.55000000000000004">
      <c r="A83" s="93"/>
      <c r="B83" s="94"/>
      <c r="C83" s="73" t="s">
        <v>421</v>
      </c>
      <c r="D83" s="73">
        <v>20457</v>
      </c>
      <c r="E83" s="74" t="s">
        <v>725</v>
      </c>
      <c r="F83" s="74">
        <v>0.623</v>
      </c>
      <c r="G83" s="74" t="s">
        <v>18</v>
      </c>
      <c r="H83" s="74" t="s">
        <v>726</v>
      </c>
      <c r="I83" s="74">
        <v>0.60799999999999998</v>
      </c>
      <c r="J83" s="74" t="s">
        <v>18</v>
      </c>
      <c r="K83" s="75" t="s">
        <v>727</v>
      </c>
      <c r="L83" s="75">
        <v>0.625</v>
      </c>
      <c r="M83" s="75" t="s">
        <v>18</v>
      </c>
      <c r="N83" s="75" t="s">
        <v>728</v>
      </c>
      <c r="O83" s="75">
        <v>0.60899999999999999</v>
      </c>
      <c r="P83" s="75" t="s">
        <v>18</v>
      </c>
    </row>
    <row r="84" spans="1:16" x14ac:dyDescent="0.55000000000000004">
      <c r="A84" s="93"/>
      <c r="B84" s="94" t="s">
        <v>451</v>
      </c>
      <c r="C84" s="73" t="s">
        <v>265</v>
      </c>
      <c r="D84" s="73">
        <v>45717</v>
      </c>
      <c r="E84" s="74" t="s">
        <v>729</v>
      </c>
      <c r="F84" s="74">
        <v>0.83799999999999997</v>
      </c>
      <c r="G84" s="74" t="s">
        <v>18</v>
      </c>
      <c r="H84" s="74" t="s">
        <v>730</v>
      </c>
      <c r="I84" s="74">
        <v>0.79500000000000004</v>
      </c>
      <c r="J84" s="74" t="s">
        <v>18</v>
      </c>
      <c r="K84" s="75" t="s">
        <v>731</v>
      </c>
      <c r="L84" s="75">
        <v>0.83899999999999997</v>
      </c>
      <c r="M84" s="75" t="s">
        <v>18</v>
      </c>
      <c r="N84" s="75" t="s">
        <v>732</v>
      </c>
      <c r="O84" s="75">
        <v>0.79600000000000004</v>
      </c>
      <c r="P84" s="75" t="s">
        <v>18</v>
      </c>
    </row>
    <row r="85" spans="1:16" x14ac:dyDescent="0.55000000000000004">
      <c r="A85" s="93"/>
      <c r="B85" s="94"/>
      <c r="C85" s="73" t="s">
        <v>416</v>
      </c>
      <c r="D85" s="73">
        <v>25260</v>
      </c>
      <c r="E85" s="74" t="s">
        <v>733</v>
      </c>
      <c r="F85" s="74">
        <v>0.84299999999999997</v>
      </c>
      <c r="G85" s="74" t="s">
        <v>18</v>
      </c>
      <c r="H85" s="74" t="s">
        <v>734</v>
      </c>
      <c r="I85" s="74">
        <v>0.80100000000000005</v>
      </c>
      <c r="J85" s="74" t="s">
        <v>18</v>
      </c>
      <c r="K85" s="75" t="s">
        <v>735</v>
      </c>
      <c r="L85" s="75">
        <v>0.84399999999999997</v>
      </c>
      <c r="M85" s="75" t="s">
        <v>18</v>
      </c>
      <c r="N85" s="75" t="s">
        <v>736</v>
      </c>
      <c r="O85" s="75">
        <v>0.80100000000000005</v>
      </c>
      <c r="P85" s="75" t="s">
        <v>18</v>
      </c>
    </row>
    <row r="86" spans="1:16" x14ac:dyDescent="0.55000000000000004">
      <c r="A86" s="93"/>
      <c r="B86" s="94"/>
      <c r="C86" s="73" t="s">
        <v>421</v>
      </c>
      <c r="D86" s="73">
        <v>20457</v>
      </c>
      <c r="E86" s="74" t="s">
        <v>737</v>
      </c>
      <c r="F86" s="74">
        <v>0.73199999999999998</v>
      </c>
      <c r="G86" s="74">
        <v>7.0000000000000001E-3</v>
      </c>
      <c r="H86" s="74" t="s">
        <v>738</v>
      </c>
      <c r="I86" s="74">
        <v>0.7</v>
      </c>
      <c r="J86" s="74" t="s">
        <v>18</v>
      </c>
      <c r="K86" s="75" t="s">
        <v>739</v>
      </c>
      <c r="L86" s="75">
        <v>0.73499999999999999</v>
      </c>
      <c r="M86" s="75">
        <v>5.8999999999999997E-2</v>
      </c>
      <c r="N86" s="75" t="s">
        <v>740</v>
      </c>
      <c r="O86" s="75">
        <v>0.70299999999999996</v>
      </c>
      <c r="P86" s="75">
        <v>0.28100000000000003</v>
      </c>
    </row>
    <row r="87" spans="1:16" x14ac:dyDescent="0.55000000000000004">
      <c r="A87" s="93"/>
      <c r="B87" s="94" t="s">
        <v>464</v>
      </c>
      <c r="C87" s="73" t="s">
        <v>265</v>
      </c>
      <c r="D87" s="73">
        <v>45717</v>
      </c>
      <c r="E87" s="74" t="s">
        <v>741</v>
      </c>
      <c r="F87" s="74">
        <v>0.40100000000000002</v>
      </c>
      <c r="G87" s="74" t="s">
        <v>18</v>
      </c>
      <c r="H87" s="74" t="s">
        <v>742</v>
      </c>
      <c r="I87" s="74">
        <v>0.40699999999999997</v>
      </c>
      <c r="J87" s="74" t="s">
        <v>18</v>
      </c>
      <c r="K87" s="75" t="s">
        <v>743</v>
      </c>
      <c r="L87" s="75">
        <v>0.40400000000000003</v>
      </c>
      <c r="M87" s="75" t="s">
        <v>18</v>
      </c>
      <c r="N87" s="75" t="s">
        <v>744</v>
      </c>
      <c r="O87" s="75">
        <v>0.41</v>
      </c>
      <c r="P87" s="75" t="s">
        <v>18</v>
      </c>
    </row>
    <row r="88" spans="1:16" x14ac:dyDescent="0.55000000000000004">
      <c r="A88" s="93"/>
      <c r="B88" s="94"/>
      <c r="C88" s="73" t="s">
        <v>416</v>
      </c>
      <c r="D88" s="73">
        <v>25260</v>
      </c>
      <c r="E88" s="74" t="s">
        <v>745</v>
      </c>
      <c r="F88" s="74">
        <v>0.377</v>
      </c>
      <c r="G88" s="74" t="s">
        <v>18</v>
      </c>
      <c r="H88" s="74" t="s">
        <v>746</v>
      </c>
      <c r="I88" s="74">
        <v>0.38200000000000001</v>
      </c>
      <c r="J88" s="74" t="s">
        <v>18</v>
      </c>
      <c r="K88" s="75" t="s">
        <v>747</v>
      </c>
      <c r="L88" s="75">
        <v>0.38</v>
      </c>
      <c r="M88" s="75">
        <v>8.0000000000000002E-3</v>
      </c>
      <c r="N88" s="75" t="s">
        <v>660</v>
      </c>
      <c r="O88" s="75">
        <v>0.38600000000000001</v>
      </c>
      <c r="P88" s="75">
        <v>1E-3</v>
      </c>
    </row>
    <row r="89" spans="1:16" x14ac:dyDescent="0.55000000000000004">
      <c r="A89" s="93"/>
      <c r="B89" s="94"/>
      <c r="C89" s="73" t="s">
        <v>421</v>
      </c>
      <c r="D89" s="73">
        <v>20457</v>
      </c>
      <c r="E89" s="74" t="s">
        <v>748</v>
      </c>
      <c r="F89" s="74">
        <v>0.35599999999999998</v>
      </c>
      <c r="G89" s="74" t="s">
        <v>18</v>
      </c>
      <c r="H89" s="74" t="s">
        <v>749</v>
      </c>
      <c r="I89" s="74">
        <v>0.36</v>
      </c>
      <c r="J89" s="74" t="s">
        <v>18</v>
      </c>
      <c r="K89" s="75" t="s">
        <v>750</v>
      </c>
      <c r="L89" s="75">
        <v>0.35899999999999999</v>
      </c>
      <c r="M89" s="75" t="s">
        <v>18</v>
      </c>
      <c r="N89" s="75" t="s">
        <v>751</v>
      </c>
      <c r="O89" s="75">
        <v>0.36199999999999999</v>
      </c>
      <c r="P89" s="75" t="s">
        <v>18</v>
      </c>
    </row>
    <row r="90" spans="1:16" x14ac:dyDescent="0.55000000000000004">
      <c r="A90" s="93"/>
      <c r="B90" s="94" t="s">
        <v>477</v>
      </c>
      <c r="C90" s="73" t="s">
        <v>265</v>
      </c>
      <c r="D90" s="73">
        <v>45717</v>
      </c>
      <c r="E90" s="74" t="s">
        <v>752</v>
      </c>
      <c r="F90" s="74">
        <v>0.68700000000000006</v>
      </c>
      <c r="G90" s="74" t="s">
        <v>18</v>
      </c>
      <c r="H90" s="74" t="s">
        <v>753</v>
      </c>
      <c r="I90" s="74">
        <v>0.66400000000000003</v>
      </c>
      <c r="J90" s="74" t="s">
        <v>18</v>
      </c>
      <c r="K90" s="75" t="s">
        <v>754</v>
      </c>
      <c r="L90" s="75">
        <v>0.69799999999999995</v>
      </c>
      <c r="M90" s="75" t="s">
        <v>18</v>
      </c>
      <c r="N90" s="75" t="s">
        <v>755</v>
      </c>
      <c r="O90" s="75">
        <v>0.67600000000000005</v>
      </c>
      <c r="P90" s="75" t="s">
        <v>18</v>
      </c>
    </row>
    <row r="91" spans="1:16" x14ac:dyDescent="0.55000000000000004">
      <c r="A91" s="93"/>
      <c r="B91" s="94"/>
      <c r="C91" s="73" t="s">
        <v>416</v>
      </c>
      <c r="D91" s="73">
        <v>25260</v>
      </c>
      <c r="E91" s="74" t="s">
        <v>756</v>
      </c>
      <c r="F91" s="74">
        <v>0.33500000000000002</v>
      </c>
      <c r="G91" s="74" t="s">
        <v>18</v>
      </c>
      <c r="H91" s="74" t="s">
        <v>757</v>
      </c>
      <c r="I91" s="74">
        <v>0.32700000000000001</v>
      </c>
      <c r="J91" s="74" t="s">
        <v>18</v>
      </c>
      <c r="K91" s="75" t="s">
        <v>758</v>
      </c>
      <c r="L91" s="75">
        <v>0.36299999999999999</v>
      </c>
      <c r="M91" s="75" t="s">
        <v>18</v>
      </c>
      <c r="N91" s="75" t="s">
        <v>759</v>
      </c>
      <c r="O91" s="75">
        <v>0.35599999999999998</v>
      </c>
      <c r="P91" s="75" t="s">
        <v>18</v>
      </c>
    </row>
    <row r="92" spans="1:16" x14ac:dyDescent="0.55000000000000004">
      <c r="A92" s="93"/>
      <c r="B92" s="94"/>
      <c r="C92" s="73" t="s">
        <v>421</v>
      </c>
      <c r="D92" s="73">
        <v>20457</v>
      </c>
      <c r="E92" s="74" t="s">
        <v>579</v>
      </c>
      <c r="F92" s="74">
        <v>0.373</v>
      </c>
      <c r="G92" s="74">
        <v>0.86399999999999999</v>
      </c>
      <c r="H92" s="74" t="s">
        <v>760</v>
      </c>
      <c r="I92" s="74">
        <v>0.36899999999999999</v>
      </c>
      <c r="J92" s="74">
        <v>0.56999999999999995</v>
      </c>
      <c r="K92" s="75" t="s">
        <v>761</v>
      </c>
      <c r="L92" s="75">
        <v>0.39300000000000002</v>
      </c>
      <c r="M92" s="75" t="s">
        <v>18</v>
      </c>
      <c r="N92" s="75" t="s">
        <v>762</v>
      </c>
      <c r="O92" s="75">
        <v>0.39</v>
      </c>
      <c r="P92" s="75" t="s">
        <v>18</v>
      </c>
    </row>
    <row r="93" spans="1:16" x14ac:dyDescent="0.55000000000000004">
      <c r="A93" s="93"/>
      <c r="B93" s="94" t="s">
        <v>490</v>
      </c>
      <c r="C93" s="73" t="s">
        <v>265</v>
      </c>
      <c r="D93" s="73">
        <v>36325</v>
      </c>
      <c r="E93" s="74" t="s">
        <v>763</v>
      </c>
      <c r="F93" s="74">
        <v>0.24099999999999999</v>
      </c>
      <c r="G93" s="74" t="s">
        <v>18</v>
      </c>
      <c r="H93" s="74" t="s">
        <v>764</v>
      </c>
      <c r="I93" s="74">
        <v>0.375</v>
      </c>
      <c r="J93" s="74" t="s">
        <v>18</v>
      </c>
      <c r="K93" s="75" t="s">
        <v>765</v>
      </c>
      <c r="L93" s="75">
        <v>0.24199999999999999</v>
      </c>
      <c r="M93" s="75" t="s">
        <v>18</v>
      </c>
      <c r="N93" s="75" t="s">
        <v>766</v>
      </c>
      <c r="O93" s="75">
        <v>0.375</v>
      </c>
      <c r="P93" s="75" t="s">
        <v>18</v>
      </c>
    </row>
    <row r="94" spans="1:16" x14ac:dyDescent="0.55000000000000004">
      <c r="A94" s="93"/>
      <c r="B94" s="94"/>
      <c r="C94" s="73" t="s">
        <v>416</v>
      </c>
      <c r="D94" s="73">
        <v>20137</v>
      </c>
      <c r="E94" s="74" t="s">
        <v>767</v>
      </c>
      <c r="F94" s="74">
        <v>0.23300000000000001</v>
      </c>
      <c r="G94" s="74" t="s">
        <v>18</v>
      </c>
      <c r="H94" s="74" t="s">
        <v>768</v>
      </c>
      <c r="I94" s="74">
        <v>0.35599999999999998</v>
      </c>
      <c r="J94" s="74" t="s">
        <v>18</v>
      </c>
      <c r="K94" s="75" t="s">
        <v>769</v>
      </c>
      <c r="L94" s="75">
        <v>0.23300000000000001</v>
      </c>
      <c r="M94" s="75" t="s">
        <v>18</v>
      </c>
      <c r="N94" s="75" t="s">
        <v>770</v>
      </c>
      <c r="O94" s="75">
        <v>0.35599999999999998</v>
      </c>
      <c r="P94" s="75" t="s">
        <v>18</v>
      </c>
    </row>
    <row r="95" spans="1:16" x14ac:dyDescent="0.55000000000000004">
      <c r="A95" s="93"/>
      <c r="B95" s="94"/>
      <c r="C95" s="73" t="s">
        <v>421</v>
      </c>
      <c r="D95" s="73">
        <v>16188</v>
      </c>
      <c r="E95" s="74" t="s">
        <v>771</v>
      </c>
      <c r="F95" s="74">
        <v>0.22900000000000001</v>
      </c>
      <c r="G95" s="74" t="s">
        <v>18</v>
      </c>
      <c r="H95" s="74" t="s">
        <v>772</v>
      </c>
      <c r="I95" s="74">
        <v>0.30599999999999999</v>
      </c>
      <c r="J95" s="74" t="s">
        <v>18</v>
      </c>
      <c r="K95" s="75" t="s">
        <v>773</v>
      </c>
      <c r="L95" s="75">
        <v>0.22900000000000001</v>
      </c>
      <c r="M95" s="75" t="s">
        <v>18</v>
      </c>
      <c r="N95" s="75" t="s">
        <v>774</v>
      </c>
      <c r="O95" s="75">
        <v>0.30599999999999999</v>
      </c>
      <c r="P95" s="75" t="s">
        <v>18</v>
      </c>
    </row>
    <row r="96" spans="1:16" x14ac:dyDescent="0.55000000000000004">
      <c r="A96" s="93"/>
      <c r="B96" s="94" t="s">
        <v>503</v>
      </c>
      <c r="C96" s="73" t="s">
        <v>265</v>
      </c>
      <c r="D96" s="73">
        <v>26276</v>
      </c>
      <c r="E96" s="74" t="s">
        <v>775</v>
      </c>
      <c r="F96" s="74">
        <v>0.26300000000000001</v>
      </c>
      <c r="G96" s="74">
        <v>0.01</v>
      </c>
      <c r="H96" s="74" t="s">
        <v>776</v>
      </c>
      <c r="I96" s="74">
        <v>0.35499999999999998</v>
      </c>
      <c r="J96" s="74" t="s">
        <v>18</v>
      </c>
      <c r="K96" s="75" t="s">
        <v>777</v>
      </c>
      <c r="L96" s="75">
        <v>0.26300000000000001</v>
      </c>
      <c r="M96" s="75">
        <v>7.0000000000000001E-3</v>
      </c>
      <c r="N96" s="75" t="s">
        <v>778</v>
      </c>
      <c r="O96" s="75">
        <v>0.35499999999999998</v>
      </c>
      <c r="P96" s="75" t="s">
        <v>18</v>
      </c>
    </row>
    <row r="97" spans="1:16" x14ac:dyDescent="0.55000000000000004">
      <c r="A97" s="93"/>
      <c r="B97" s="94"/>
      <c r="C97" s="73" t="s">
        <v>416</v>
      </c>
      <c r="D97" s="73">
        <v>14496</v>
      </c>
      <c r="E97" s="74" t="s">
        <v>779</v>
      </c>
      <c r="F97" s="74">
        <v>0.247</v>
      </c>
      <c r="G97" s="74">
        <v>1E-3</v>
      </c>
      <c r="H97" s="74" t="s">
        <v>780</v>
      </c>
      <c r="I97" s="74">
        <v>0.32100000000000001</v>
      </c>
      <c r="J97" s="74" t="s">
        <v>18</v>
      </c>
      <c r="K97" s="75" t="s">
        <v>781</v>
      </c>
      <c r="L97" s="75">
        <v>0.247</v>
      </c>
      <c r="M97" s="75">
        <v>1E-3</v>
      </c>
      <c r="N97" s="75" t="s">
        <v>782</v>
      </c>
      <c r="O97" s="75">
        <v>0.32100000000000001</v>
      </c>
      <c r="P97" s="75" t="s">
        <v>18</v>
      </c>
    </row>
    <row r="98" spans="1:16" x14ac:dyDescent="0.55000000000000004">
      <c r="A98" s="93"/>
      <c r="B98" s="94"/>
      <c r="C98" s="73" t="s">
        <v>421</v>
      </c>
      <c r="D98" s="73">
        <v>11780</v>
      </c>
      <c r="E98" s="74" t="s">
        <v>783</v>
      </c>
      <c r="F98" s="74">
        <v>0.16300000000000001</v>
      </c>
      <c r="G98" s="74">
        <v>0.39400000000000002</v>
      </c>
      <c r="H98" s="74" t="s">
        <v>784</v>
      </c>
      <c r="I98" s="74">
        <v>0.20899999999999999</v>
      </c>
      <c r="J98" s="74">
        <v>0.248</v>
      </c>
      <c r="K98" s="75" t="s">
        <v>785</v>
      </c>
      <c r="L98" s="75">
        <v>0.16300000000000001</v>
      </c>
      <c r="M98" s="75">
        <v>0.254</v>
      </c>
      <c r="N98" s="75" t="s">
        <v>786</v>
      </c>
      <c r="O98" s="75">
        <v>0.20899999999999999</v>
      </c>
      <c r="P98" s="75">
        <v>0.19600000000000001</v>
      </c>
    </row>
    <row r="99" spans="1:16" x14ac:dyDescent="0.55000000000000004">
      <c r="A99" s="93" t="s">
        <v>144</v>
      </c>
      <c r="B99" s="94" t="s">
        <v>411</v>
      </c>
      <c r="C99" s="73" t="s">
        <v>265</v>
      </c>
      <c r="D99" s="73">
        <v>41873</v>
      </c>
      <c r="E99" s="74" t="s">
        <v>787</v>
      </c>
      <c r="F99" s="74">
        <v>0.04</v>
      </c>
      <c r="G99" s="74" t="s">
        <v>18</v>
      </c>
      <c r="H99" s="74" t="s">
        <v>788</v>
      </c>
      <c r="I99" s="74">
        <v>5.1999999999999998E-2</v>
      </c>
      <c r="J99" s="74" t="s">
        <v>18</v>
      </c>
      <c r="K99" s="75" t="s">
        <v>789</v>
      </c>
      <c r="L99" s="75">
        <v>0.13600000000000001</v>
      </c>
      <c r="M99" s="75" t="s">
        <v>18</v>
      </c>
      <c r="N99" s="75" t="s">
        <v>790</v>
      </c>
      <c r="O99" s="75">
        <v>0.153</v>
      </c>
      <c r="P99" s="75" t="s">
        <v>18</v>
      </c>
    </row>
    <row r="100" spans="1:16" x14ac:dyDescent="0.55000000000000004">
      <c r="A100" s="93"/>
      <c r="B100" s="94"/>
      <c r="C100" s="73" t="s">
        <v>416</v>
      </c>
      <c r="D100" s="73">
        <v>24004</v>
      </c>
      <c r="E100" s="74" t="s">
        <v>791</v>
      </c>
      <c r="F100" s="74">
        <v>2.3E-2</v>
      </c>
      <c r="G100" s="74" t="s">
        <v>18</v>
      </c>
      <c r="H100" s="74" t="s">
        <v>792</v>
      </c>
      <c r="I100" s="74">
        <v>2.5000000000000001E-2</v>
      </c>
      <c r="J100" s="74" t="s">
        <v>18</v>
      </c>
      <c r="K100" s="75" t="s">
        <v>793</v>
      </c>
      <c r="L100" s="75">
        <v>0.14000000000000001</v>
      </c>
      <c r="M100" s="75" t="s">
        <v>18</v>
      </c>
      <c r="N100" s="75" t="s">
        <v>794</v>
      </c>
      <c r="O100" s="75">
        <v>0.14599999999999999</v>
      </c>
      <c r="P100" s="75" t="s">
        <v>18</v>
      </c>
    </row>
    <row r="101" spans="1:16" x14ac:dyDescent="0.55000000000000004">
      <c r="A101" s="93"/>
      <c r="B101" s="94"/>
      <c r="C101" s="73" t="s">
        <v>421</v>
      </c>
      <c r="D101" s="73">
        <v>17869</v>
      </c>
      <c r="E101" s="74" t="s">
        <v>795</v>
      </c>
      <c r="F101" s="74">
        <v>2.5999999999999999E-2</v>
      </c>
      <c r="G101" s="74" t="s">
        <v>18</v>
      </c>
      <c r="H101" s="74" t="s">
        <v>796</v>
      </c>
      <c r="I101" s="74">
        <v>2.5999999999999999E-2</v>
      </c>
      <c r="J101" s="74" t="s">
        <v>18</v>
      </c>
      <c r="K101" s="75" t="s">
        <v>797</v>
      </c>
      <c r="L101" s="75">
        <v>0.10199999999999999</v>
      </c>
      <c r="M101" s="75" t="s">
        <v>18</v>
      </c>
      <c r="N101" s="75" t="s">
        <v>798</v>
      </c>
      <c r="O101" s="75">
        <v>0.112</v>
      </c>
      <c r="P101" s="75" t="s">
        <v>18</v>
      </c>
    </row>
    <row r="102" spans="1:16" x14ac:dyDescent="0.55000000000000004">
      <c r="A102" s="93"/>
      <c r="B102" s="94" t="s">
        <v>426</v>
      </c>
      <c r="C102" s="73" t="s">
        <v>265</v>
      </c>
      <c r="D102" s="73">
        <v>41873</v>
      </c>
      <c r="E102" s="74" t="s">
        <v>433</v>
      </c>
      <c r="F102" s="74">
        <v>0.57199999999999995</v>
      </c>
      <c r="G102" s="74" t="s">
        <v>18</v>
      </c>
      <c r="H102" s="74" t="s">
        <v>799</v>
      </c>
      <c r="I102" s="74">
        <v>0.55700000000000005</v>
      </c>
      <c r="J102" s="74" t="s">
        <v>18</v>
      </c>
      <c r="K102" s="75" t="s">
        <v>433</v>
      </c>
      <c r="L102" s="75">
        <v>0.57199999999999995</v>
      </c>
      <c r="M102" s="75" t="s">
        <v>18</v>
      </c>
      <c r="N102" s="75" t="s">
        <v>799</v>
      </c>
      <c r="O102" s="75">
        <v>0.55700000000000005</v>
      </c>
      <c r="P102" s="75" t="s">
        <v>18</v>
      </c>
    </row>
    <row r="103" spans="1:16" x14ac:dyDescent="0.55000000000000004">
      <c r="A103" s="93"/>
      <c r="B103" s="94"/>
      <c r="C103" s="73" t="s">
        <v>416</v>
      </c>
      <c r="D103" s="73">
        <v>24004</v>
      </c>
      <c r="E103" s="74" t="s">
        <v>800</v>
      </c>
      <c r="F103" s="74">
        <v>0.20599999999999999</v>
      </c>
      <c r="G103" s="74" t="s">
        <v>18</v>
      </c>
      <c r="H103" s="74" t="s">
        <v>801</v>
      </c>
      <c r="I103" s="74">
        <v>0.20399999999999999</v>
      </c>
      <c r="J103" s="74" t="s">
        <v>18</v>
      </c>
      <c r="K103" s="75" t="s">
        <v>800</v>
      </c>
      <c r="L103" s="75">
        <v>0.20699999999999999</v>
      </c>
      <c r="M103" s="75" t="s">
        <v>18</v>
      </c>
      <c r="N103" s="75" t="s">
        <v>802</v>
      </c>
      <c r="O103" s="75">
        <v>0.20599999999999999</v>
      </c>
      <c r="P103" s="75" t="s">
        <v>18</v>
      </c>
    </row>
    <row r="104" spans="1:16" x14ac:dyDescent="0.55000000000000004">
      <c r="A104" s="93"/>
      <c r="B104" s="94"/>
      <c r="C104" s="73" t="s">
        <v>421</v>
      </c>
      <c r="D104" s="73">
        <v>17869</v>
      </c>
      <c r="E104" s="74" t="s">
        <v>803</v>
      </c>
      <c r="F104" s="74">
        <v>0.32500000000000001</v>
      </c>
      <c r="G104" s="74" t="s">
        <v>18</v>
      </c>
      <c r="H104" s="74" t="s">
        <v>804</v>
      </c>
      <c r="I104" s="74">
        <v>0.32500000000000001</v>
      </c>
      <c r="J104" s="74" t="s">
        <v>18</v>
      </c>
      <c r="K104" s="75" t="s">
        <v>805</v>
      </c>
      <c r="L104" s="75">
        <v>0.32800000000000001</v>
      </c>
      <c r="M104" s="75" t="s">
        <v>18</v>
      </c>
      <c r="N104" s="75" t="s">
        <v>806</v>
      </c>
      <c r="O104" s="75">
        <v>0.32800000000000001</v>
      </c>
      <c r="P104" s="75" t="s">
        <v>18</v>
      </c>
    </row>
    <row r="105" spans="1:16" x14ac:dyDescent="0.55000000000000004">
      <c r="A105" s="93"/>
      <c r="B105" s="94" t="s">
        <v>438</v>
      </c>
      <c r="C105" s="73" t="s">
        <v>265</v>
      </c>
      <c r="D105" s="73">
        <v>41873</v>
      </c>
      <c r="E105" s="74" t="s">
        <v>807</v>
      </c>
      <c r="F105" s="74">
        <v>0.69</v>
      </c>
      <c r="G105" s="74" t="s">
        <v>18</v>
      </c>
      <c r="H105" s="74" t="s">
        <v>808</v>
      </c>
      <c r="I105" s="74">
        <v>0.70099999999999996</v>
      </c>
      <c r="J105" s="74" t="s">
        <v>18</v>
      </c>
      <c r="K105" s="75" t="s">
        <v>809</v>
      </c>
      <c r="L105" s="75">
        <v>0.69199999999999995</v>
      </c>
      <c r="M105" s="75" t="s">
        <v>18</v>
      </c>
      <c r="N105" s="75" t="s">
        <v>810</v>
      </c>
      <c r="O105" s="75">
        <v>0.70199999999999996</v>
      </c>
      <c r="P105" s="75" t="s">
        <v>18</v>
      </c>
    </row>
    <row r="106" spans="1:16" x14ac:dyDescent="0.55000000000000004">
      <c r="A106" s="93"/>
      <c r="B106" s="94"/>
      <c r="C106" s="73" t="s">
        <v>416</v>
      </c>
      <c r="D106" s="73">
        <v>24004</v>
      </c>
      <c r="E106" s="74" t="s">
        <v>811</v>
      </c>
      <c r="F106" s="74">
        <v>0.65800000000000003</v>
      </c>
      <c r="G106" s="74" t="s">
        <v>18</v>
      </c>
      <c r="H106" s="74" t="s">
        <v>812</v>
      </c>
      <c r="I106" s="74">
        <v>0.64500000000000002</v>
      </c>
      <c r="J106" s="74" t="s">
        <v>18</v>
      </c>
      <c r="K106" s="75" t="s">
        <v>813</v>
      </c>
      <c r="L106" s="75">
        <v>0.65900000000000003</v>
      </c>
      <c r="M106" s="75" t="s">
        <v>18</v>
      </c>
      <c r="N106" s="75" t="s">
        <v>814</v>
      </c>
      <c r="O106" s="75">
        <v>0.64500000000000002</v>
      </c>
      <c r="P106" s="75" t="s">
        <v>18</v>
      </c>
    </row>
    <row r="107" spans="1:16" x14ac:dyDescent="0.55000000000000004">
      <c r="A107" s="93"/>
      <c r="B107" s="94"/>
      <c r="C107" s="73" t="s">
        <v>421</v>
      </c>
      <c r="D107" s="73">
        <v>17869</v>
      </c>
      <c r="E107" s="74" t="s">
        <v>815</v>
      </c>
      <c r="F107" s="74">
        <v>0.628</v>
      </c>
      <c r="G107" s="74" t="s">
        <v>18</v>
      </c>
      <c r="H107" s="74" t="s">
        <v>816</v>
      </c>
      <c r="I107" s="74">
        <v>0.61299999999999999</v>
      </c>
      <c r="J107" s="74" t="s">
        <v>18</v>
      </c>
      <c r="K107" s="75" t="s">
        <v>817</v>
      </c>
      <c r="L107" s="75">
        <v>0.63300000000000001</v>
      </c>
      <c r="M107" s="75" t="s">
        <v>18</v>
      </c>
      <c r="N107" s="75" t="s">
        <v>818</v>
      </c>
      <c r="O107" s="75">
        <v>0.61599999999999999</v>
      </c>
      <c r="P107" s="75" t="s">
        <v>18</v>
      </c>
    </row>
    <row r="108" spans="1:16" x14ac:dyDescent="0.55000000000000004">
      <c r="A108" s="93"/>
      <c r="B108" s="94" t="s">
        <v>451</v>
      </c>
      <c r="C108" s="73" t="s">
        <v>265</v>
      </c>
      <c r="D108" s="73">
        <v>41873</v>
      </c>
      <c r="E108" s="74" t="s">
        <v>819</v>
      </c>
      <c r="F108" s="74">
        <v>0.83599999999999997</v>
      </c>
      <c r="G108" s="74" t="s">
        <v>18</v>
      </c>
      <c r="H108" s="74" t="s">
        <v>820</v>
      </c>
      <c r="I108" s="74">
        <v>0.79600000000000004</v>
      </c>
      <c r="J108" s="74" t="s">
        <v>18</v>
      </c>
      <c r="K108" s="75" t="s">
        <v>821</v>
      </c>
      <c r="L108" s="75">
        <v>0.84</v>
      </c>
      <c r="M108" s="75" t="s">
        <v>18</v>
      </c>
      <c r="N108" s="75" t="s">
        <v>822</v>
      </c>
      <c r="O108" s="75">
        <v>0.79800000000000004</v>
      </c>
      <c r="P108" s="75" t="s">
        <v>18</v>
      </c>
    </row>
    <row r="109" spans="1:16" x14ac:dyDescent="0.55000000000000004">
      <c r="A109" s="93"/>
      <c r="B109" s="94"/>
      <c r="C109" s="73" t="s">
        <v>416</v>
      </c>
      <c r="D109" s="73">
        <v>24004</v>
      </c>
      <c r="E109" s="74" t="s">
        <v>823</v>
      </c>
      <c r="F109" s="74">
        <v>0.84199999999999997</v>
      </c>
      <c r="G109" s="74" t="s">
        <v>18</v>
      </c>
      <c r="H109" s="74" t="s">
        <v>824</v>
      </c>
      <c r="I109" s="74">
        <v>0.79800000000000004</v>
      </c>
      <c r="J109" s="74" t="s">
        <v>18</v>
      </c>
      <c r="K109" s="75" t="s">
        <v>825</v>
      </c>
      <c r="L109" s="75">
        <v>0.84499999999999997</v>
      </c>
      <c r="M109" s="75" t="s">
        <v>18</v>
      </c>
      <c r="N109" s="75" t="s">
        <v>826</v>
      </c>
      <c r="O109" s="75">
        <v>0.8</v>
      </c>
      <c r="P109" s="75" t="s">
        <v>18</v>
      </c>
    </row>
    <row r="110" spans="1:16" x14ac:dyDescent="0.55000000000000004">
      <c r="A110" s="93"/>
      <c r="B110" s="94"/>
      <c r="C110" s="73" t="s">
        <v>421</v>
      </c>
      <c r="D110" s="73">
        <v>17869</v>
      </c>
      <c r="E110" s="74" t="s">
        <v>827</v>
      </c>
      <c r="F110" s="74">
        <v>0.71399999999999997</v>
      </c>
      <c r="G110" s="74" t="s">
        <v>18</v>
      </c>
      <c r="H110" s="74" t="s">
        <v>539</v>
      </c>
      <c r="I110" s="74">
        <v>0.68700000000000006</v>
      </c>
      <c r="J110" s="74" t="s">
        <v>18</v>
      </c>
      <c r="K110" s="75" t="s">
        <v>828</v>
      </c>
      <c r="L110" s="75">
        <v>0.72399999999999998</v>
      </c>
      <c r="M110" s="75" t="s">
        <v>18</v>
      </c>
      <c r="N110" s="75" t="s">
        <v>829</v>
      </c>
      <c r="O110" s="75">
        <v>0.69299999999999995</v>
      </c>
      <c r="P110" s="75" t="s">
        <v>18</v>
      </c>
    </row>
    <row r="111" spans="1:16" x14ac:dyDescent="0.55000000000000004">
      <c r="A111" s="93"/>
      <c r="B111" s="94" t="s">
        <v>464</v>
      </c>
      <c r="C111" s="73" t="s">
        <v>265</v>
      </c>
      <c r="D111" s="73">
        <v>41873</v>
      </c>
      <c r="E111" s="74" t="s">
        <v>830</v>
      </c>
      <c r="F111" s="74">
        <v>0.4</v>
      </c>
      <c r="G111" s="74" t="s">
        <v>18</v>
      </c>
      <c r="H111" s="74" t="s">
        <v>831</v>
      </c>
      <c r="I111" s="74">
        <v>0.40699999999999997</v>
      </c>
      <c r="J111" s="74" t="s">
        <v>18</v>
      </c>
      <c r="K111" s="75" t="s">
        <v>832</v>
      </c>
      <c r="L111" s="75">
        <v>0.40699999999999997</v>
      </c>
      <c r="M111" s="75" t="s">
        <v>18</v>
      </c>
      <c r="N111" s="75" t="s">
        <v>833</v>
      </c>
      <c r="O111" s="75">
        <v>0.41399999999999998</v>
      </c>
      <c r="P111" s="75" t="s">
        <v>18</v>
      </c>
    </row>
    <row r="112" spans="1:16" x14ac:dyDescent="0.55000000000000004">
      <c r="A112" s="93"/>
      <c r="B112" s="94"/>
      <c r="C112" s="73" t="s">
        <v>416</v>
      </c>
      <c r="D112" s="73">
        <v>24004</v>
      </c>
      <c r="E112" s="74" t="s">
        <v>834</v>
      </c>
      <c r="F112" s="74">
        <v>0.377</v>
      </c>
      <c r="G112" s="74" t="s">
        <v>18</v>
      </c>
      <c r="H112" s="74" t="s">
        <v>835</v>
      </c>
      <c r="I112" s="74">
        <v>0.38200000000000001</v>
      </c>
      <c r="J112" s="74" t="s">
        <v>18</v>
      </c>
      <c r="K112" s="75" t="s">
        <v>836</v>
      </c>
      <c r="L112" s="75">
        <v>0.38500000000000001</v>
      </c>
      <c r="M112" s="75" t="s">
        <v>18</v>
      </c>
      <c r="N112" s="75" t="s">
        <v>837</v>
      </c>
      <c r="O112" s="75">
        <v>0.39100000000000001</v>
      </c>
      <c r="P112" s="75" t="s">
        <v>18</v>
      </c>
    </row>
    <row r="113" spans="1:16" x14ac:dyDescent="0.55000000000000004">
      <c r="A113" s="93"/>
      <c r="B113" s="94"/>
      <c r="C113" s="73" t="s">
        <v>421</v>
      </c>
      <c r="D113" s="73">
        <v>17869</v>
      </c>
      <c r="E113" s="74" t="s">
        <v>838</v>
      </c>
      <c r="F113" s="74">
        <v>0.34899999999999998</v>
      </c>
      <c r="G113" s="74" t="s">
        <v>18</v>
      </c>
      <c r="H113" s="74" t="s">
        <v>839</v>
      </c>
      <c r="I113" s="74">
        <v>0.35299999999999998</v>
      </c>
      <c r="J113" s="74" t="s">
        <v>18</v>
      </c>
      <c r="K113" s="75" t="s">
        <v>840</v>
      </c>
      <c r="L113" s="75">
        <v>0.35599999999999998</v>
      </c>
      <c r="M113" s="75" t="s">
        <v>18</v>
      </c>
      <c r="N113" s="75" t="s">
        <v>841</v>
      </c>
      <c r="O113" s="75">
        <v>0.36</v>
      </c>
      <c r="P113" s="75" t="s">
        <v>18</v>
      </c>
    </row>
    <row r="114" spans="1:16" x14ac:dyDescent="0.55000000000000004">
      <c r="A114" s="93"/>
      <c r="B114" s="94" t="s">
        <v>477</v>
      </c>
      <c r="C114" s="73" t="s">
        <v>265</v>
      </c>
      <c r="D114" s="73">
        <v>41873</v>
      </c>
      <c r="E114" s="74" t="s">
        <v>842</v>
      </c>
      <c r="F114" s="74">
        <v>0.69499999999999995</v>
      </c>
      <c r="G114" s="74" t="s">
        <v>18</v>
      </c>
      <c r="H114" s="74" t="s">
        <v>843</v>
      </c>
      <c r="I114" s="74">
        <v>0.67100000000000004</v>
      </c>
      <c r="J114" s="74" t="s">
        <v>18</v>
      </c>
      <c r="K114" s="75" t="s">
        <v>844</v>
      </c>
      <c r="L114" s="75">
        <v>0.70899999999999996</v>
      </c>
      <c r="M114" s="75" t="s">
        <v>18</v>
      </c>
      <c r="N114" s="75" t="s">
        <v>845</v>
      </c>
      <c r="O114" s="75">
        <v>0.68600000000000005</v>
      </c>
      <c r="P114" s="75" t="s">
        <v>18</v>
      </c>
    </row>
    <row r="115" spans="1:16" x14ac:dyDescent="0.55000000000000004">
      <c r="A115" s="93"/>
      <c r="B115" s="94"/>
      <c r="C115" s="73" t="s">
        <v>416</v>
      </c>
      <c r="D115" s="73">
        <v>24004</v>
      </c>
      <c r="E115" s="74" t="s">
        <v>846</v>
      </c>
      <c r="F115" s="74">
        <v>0.34499999999999997</v>
      </c>
      <c r="G115" s="74" t="s">
        <v>18</v>
      </c>
      <c r="H115" s="74" t="s">
        <v>847</v>
      </c>
      <c r="I115" s="74">
        <v>0.33800000000000002</v>
      </c>
      <c r="J115" s="74" t="s">
        <v>18</v>
      </c>
      <c r="K115" s="75" t="s">
        <v>848</v>
      </c>
      <c r="L115" s="75">
        <v>0.371</v>
      </c>
      <c r="M115" s="75" t="s">
        <v>18</v>
      </c>
      <c r="N115" s="75" t="s">
        <v>849</v>
      </c>
      <c r="O115" s="75">
        <v>0.36399999999999999</v>
      </c>
      <c r="P115" s="75" t="s">
        <v>18</v>
      </c>
    </row>
    <row r="116" spans="1:16" x14ac:dyDescent="0.55000000000000004">
      <c r="A116" s="93"/>
      <c r="B116" s="94"/>
      <c r="C116" s="73" t="s">
        <v>421</v>
      </c>
      <c r="D116" s="73">
        <v>17869</v>
      </c>
      <c r="E116" s="74" t="s">
        <v>850</v>
      </c>
      <c r="F116" s="74">
        <v>0.41599999999999998</v>
      </c>
      <c r="G116" s="74" t="s">
        <v>18</v>
      </c>
      <c r="H116" s="74" t="s">
        <v>851</v>
      </c>
      <c r="I116" s="74">
        <v>0.41199999999999998</v>
      </c>
      <c r="J116" s="74" t="s">
        <v>18</v>
      </c>
      <c r="K116" s="75" t="s">
        <v>852</v>
      </c>
      <c r="L116" s="75">
        <v>0.45300000000000001</v>
      </c>
      <c r="M116" s="75" t="s">
        <v>18</v>
      </c>
      <c r="N116" s="75" t="s">
        <v>853</v>
      </c>
      <c r="O116" s="75">
        <v>0.45100000000000001</v>
      </c>
      <c r="P116" s="75" t="s">
        <v>18</v>
      </c>
    </row>
    <row r="117" spans="1:16" x14ac:dyDescent="0.55000000000000004">
      <c r="A117" s="93"/>
      <c r="B117" s="94" t="s">
        <v>490</v>
      </c>
      <c r="C117" s="73" t="s">
        <v>265</v>
      </c>
      <c r="D117" s="73">
        <v>33363</v>
      </c>
      <c r="E117" s="74" t="s">
        <v>854</v>
      </c>
      <c r="F117" s="74">
        <v>0.245</v>
      </c>
      <c r="G117" s="74" t="s">
        <v>18</v>
      </c>
      <c r="H117" s="74" t="s">
        <v>855</v>
      </c>
      <c r="I117" s="74">
        <v>0.38300000000000001</v>
      </c>
      <c r="J117" s="74" t="s">
        <v>18</v>
      </c>
      <c r="K117" s="75" t="s">
        <v>856</v>
      </c>
      <c r="L117" s="75">
        <v>0.246</v>
      </c>
      <c r="M117" s="75" t="s">
        <v>18</v>
      </c>
      <c r="N117" s="75" t="s">
        <v>857</v>
      </c>
      <c r="O117" s="75">
        <v>0.38300000000000001</v>
      </c>
      <c r="P117" s="75" t="s">
        <v>18</v>
      </c>
    </row>
    <row r="118" spans="1:16" x14ac:dyDescent="0.55000000000000004">
      <c r="A118" s="93"/>
      <c r="B118" s="94"/>
      <c r="C118" s="73" t="s">
        <v>416</v>
      </c>
      <c r="D118" s="73">
        <v>19137</v>
      </c>
      <c r="E118" s="74" t="s">
        <v>858</v>
      </c>
      <c r="F118" s="74">
        <v>0.245</v>
      </c>
      <c r="G118" s="74" t="s">
        <v>18</v>
      </c>
      <c r="H118" s="74" t="s">
        <v>859</v>
      </c>
      <c r="I118" s="74">
        <v>0.37</v>
      </c>
      <c r="J118" s="74" t="s">
        <v>18</v>
      </c>
      <c r="K118" s="75" t="s">
        <v>858</v>
      </c>
      <c r="L118" s="75">
        <v>0.245</v>
      </c>
      <c r="M118" s="75" t="s">
        <v>18</v>
      </c>
      <c r="N118" s="75" t="s">
        <v>860</v>
      </c>
      <c r="O118" s="75">
        <v>0.37</v>
      </c>
      <c r="P118" s="75" t="s">
        <v>18</v>
      </c>
    </row>
    <row r="119" spans="1:16" x14ac:dyDescent="0.55000000000000004">
      <c r="A119" s="93"/>
      <c r="B119" s="94"/>
      <c r="C119" s="73" t="s">
        <v>421</v>
      </c>
      <c r="D119" s="73">
        <v>14226</v>
      </c>
      <c r="E119" s="74" t="s">
        <v>861</v>
      </c>
      <c r="F119" s="74">
        <v>0.223</v>
      </c>
      <c r="G119" s="74" t="s">
        <v>18</v>
      </c>
      <c r="H119" s="74" t="s">
        <v>862</v>
      </c>
      <c r="I119" s="74">
        <v>0.29599999999999999</v>
      </c>
      <c r="J119" s="74" t="s">
        <v>18</v>
      </c>
      <c r="K119" s="75" t="s">
        <v>863</v>
      </c>
      <c r="L119" s="75">
        <v>0.22500000000000001</v>
      </c>
      <c r="M119" s="75" t="s">
        <v>18</v>
      </c>
      <c r="N119" s="75" t="s">
        <v>864</v>
      </c>
      <c r="O119" s="75">
        <v>0.29599999999999999</v>
      </c>
      <c r="P119" s="75" t="s">
        <v>18</v>
      </c>
    </row>
    <row r="120" spans="1:16" x14ac:dyDescent="0.55000000000000004">
      <c r="A120" s="93"/>
      <c r="B120" s="94" t="s">
        <v>503</v>
      </c>
      <c r="C120" s="73" t="s">
        <v>265</v>
      </c>
      <c r="D120" s="73">
        <v>24033</v>
      </c>
      <c r="E120" s="74" t="s">
        <v>865</v>
      </c>
      <c r="F120" s="74">
        <v>0.26700000000000002</v>
      </c>
      <c r="G120" s="74" t="s">
        <v>18</v>
      </c>
      <c r="H120" s="74" t="s">
        <v>796</v>
      </c>
      <c r="I120" s="74">
        <v>0.36299999999999999</v>
      </c>
      <c r="J120" s="74" t="s">
        <v>18</v>
      </c>
      <c r="K120" s="75" t="s">
        <v>866</v>
      </c>
      <c r="L120" s="75">
        <v>0.26700000000000002</v>
      </c>
      <c r="M120" s="75" t="s">
        <v>18</v>
      </c>
      <c r="N120" s="75" t="s">
        <v>867</v>
      </c>
      <c r="O120" s="75">
        <v>0.36299999999999999</v>
      </c>
      <c r="P120" s="75" t="s">
        <v>18</v>
      </c>
    </row>
    <row r="121" spans="1:16" x14ac:dyDescent="0.55000000000000004">
      <c r="A121" s="93"/>
      <c r="B121" s="94"/>
      <c r="C121" s="73" t="s">
        <v>416</v>
      </c>
      <c r="D121" s="73">
        <v>13807</v>
      </c>
      <c r="E121" s="74" t="s">
        <v>868</v>
      </c>
      <c r="F121" s="74">
        <v>0.254</v>
      </c>
      <c r="G121" s="74" t="s">
        <v>18</v>
      </c>
      <c r="H121" s="74" t="s">
        <v>869</v>
      </c>
      <c r="I121" s="74">
        <v>0.32800000000000001</v>
      </c>
      <c r="J121" s="74" t="s">
        <v>18</v>
      </c>
      <c r="K121" s="75" t="s">
        <v>870</v>
      </c>
      <c r="L121" s="75">
        <v>0.254</v>
      </c>
      <c r="M121" s="75" t="s">
        <v>18</v>
      </c>
      <c r="N121" s="75" t="s">
        <v>871</v>
      </c>
      <c r="O121" s="75">
        <v>0.32800000000000001</v>
      </c>
      <c r="P121" s="75" t="s">
        <v>18</v>
      </c>
    </row>
    <row r="122" spans="1:16" x14ac:dyDescent="0.55000000000000004">
      <c r="A122" s="93"/>
      <c r="B122" s="94"/>
      <c r="C122" s="73" t="s">
        <v>421</v>
      </c>
      <c r="D122" s="73">
        <v>10226</v>
      </c>
      <c r="E122" s="74" t="s">
        <v>872</v>
      </c>
      <c r="F122" s="74">
        <v>0.153</v>
      </c>
      <c r="G122" s="74" t="s">
        <v>18</v>
      </c>
      <c r="H122" s="74" t="s">
        <v>873</v>
      </c>
      <c r="I122" s="74">
        <v>0.19600000000000001</v>
      </c>
      <c r="J122" s="74" t="s">
        <v>18</v>
      </c>
      <c r="K122" s="75" t="s">
        <v>874</v>
      </c>
      <c r="L122" s="75">
        <v>0.154</v>
      </c>
      <c r="M122" s="75" t="s">
        <v>18</v>
      </c>
      <c r="N122" s="75" t="s">
        <v>875</v>
      </c>
      <c r="O122" s="75">
        <v>0.19700000000000001</v>
      </c>
      <c r="P122" s="75" t="s">
        <v>18</v>
      </c>
    </row>
    <row r="123" spans="1:16" x14ac:dyDescent="0.55000000000000004">
      <c r="A123" s="93" t="s">
        <v>139</v>
      </c>
      <c r="B123" s="94" t="s">
        <v>411</v>
      </c>
      <c r="C123" s="73" t="s">
        <v>265</v>
      </c>
      <c r="D123" s="73">
        <v>41873</v>
      </c>
      <c r="E123" s="74" t="s">
        <v>1317</v>
      </c>
      <c r="F123" s="74">
        <v>7.2999999999999995E-2</v>
      </c>
      <c r="G123" s="74" t="s">
        <v>18</v>
      </c>
      <c r="H123" s="74" t="s">
        <v>1314</v>
      </c>
      <c r="I123" s="74">
        <v>0.08</v>
      </c>
      <c r="J123" s="74" t="s">
        <v>18</v>
      </c>
      <c r="K123" s="75" t="s">
        <v>1320</v>
      </c>
      <c r="L123" s="75">
        <v>0.128</v>
      </c>
      <c r="M123" s="75" t="s">
        <v>18</v>
      </c>
      <c r="N123" s="75" t="s">
        <v>1323</v>
      </c>
      <c r="O123" s="75">
        <v>0.14099999999999999</v>
      </c>
      <c r="P123" s="75" t="s">
        <v>18</v>
      </c>
    </row>
    <row r="124" spans="1:16" x14ac:dyDescent="0.55000000000000004">
      <c r="A124" s="93"/>
      <c r="B124" s="94"/>
      <c r="C124" s="73" t="s">
        <v>416</v>
      </c>
      <c r="D124" s="73">
        <v>24004</v>
      </c>
      <c r="E124" s="74" t="s">
        <v>1318</v>
      </c>
      <c r="F124" s="74">
        <v>7.4999999999999997E-2</v>
      </c>
      <c r="G124" s="74" t="s">
        <v>18</v>
      </c>
      <c r="H124" s="74" t="s">
        <v>1315</v>
      </c>
      <c r="I124" s="74">
        <v>6.8000000000000005E-2</v>
      </c>
      <c r="J124" s="74" t="s">
        <v>18</v>
      </c>
      <c r="K124" s="75" t="s">
        <v>1321</v>
      </c>
      <c r="L124" s="75">
        <v>0.13800000000000001</v>
      </c>
      <c r="M124" s="75" t="s">
        <v>18</v>
      </c>
      <c r="N124" s="75" t="s">
        <v>1324</v>
      </c>
      <c r="O124" s="75">
        <v>0.13800000000000001</v>
      </c>
      <c r="P124" s="75" t="s">
        <v>18</v>
      </c>
    </row>
    <row r="125" spans="1:16" x14ac:dyDescent="0.55000000000000004">
      <c r="A125" s="93"/>
      <c r="B125" s="94"/>
      <c r="C125" s="73" t="s">
        <v>421</v>
      </c>
      <c r="D125" s="73">
        <v>17869</v>
      </c>
      <c r="E125" s="74" t="s">
        <v>1319</v>
      </c>
      <c r="F125" s="74">
        <v>3.2000000000000001E-2</v>
      </c>
      <c r="G125" s="74" t="s">
        <v>18</v>
      </c>
      <c r="H125" s="74" t="s">
        <v>1316</v>
      </c>
      <c r="I125" s="74">
        <v>0.03</v>
      </c>
      <c r="J125" s="74" t="s">
        <v>18</v>
      </c>
      <c r="K125" s="75" t="s">
        <v>1322</v>
      </c>
      <c r="L125" s="75">
        <v>8.2000000000000003E-2</v>
      </c>
      <c r="M125" s="75" t="s">
        <v>18</v>
      </c>
      <c r="N125" s="75" t="s">
        <v>1325</v>
      </c>
      <c r="O125" s="75">
        <v>9.0999999999999998E-2</v>
      </c>
      <c r="P125" s="75" t="s">
        <v>18</v>
      </c>
    </row>
    <row r="126" spans="1:16" x14ac:dyDescent="0.55000000000000004">
      <c r="A126" s="93"/>
      <c r="B126" s="94" t="s">
        <v>426</v>
      </c>
      <c r="C126" s="73" t="s">
        <v>265</v>
      </c>
      <c r="D126" s="73">
        <v>41873</v>
      </c>
      <c r="E126" s="74" t="s">
        <v>531</v>
      </c>
      <c r="F126" s="74">
        <v>0.56499999999999995</v>
      </c>
      <c r="G126" s="74">
        <v>0.58199999999999996</v>
      </c>
      <c r="H126" s="74" t="s">
        <v>1355</v>
      </c>
      <c r="I126" s="74">
        <v>0.55000000000000004</v>
      </c>
      <c r="J126" s="74">
        <v>0.58799999999999997</v>
      </c>
      <c r="K126" s="75" t="s">
        <v>529</v>
      </c>
      <c r="L126" s="75">
        <v>0.56599999999999995</v>
      </c>
      <c r="M126" s="75">
        <v>0.13500000000000001</v>
      </c>
      <c r="N126" s="75" t="s">
        <v>1359</v>
      </c>
      <c r="O126" s="75">
        <v>0.55000000000000004</v>
      </c>
      <c r="P126" s="75">
        <v>0.151</v>
      </c>
    </row>
    <row r="127" spans="1:16" x14ac:dyDescent="0.55000000000000004">
      <c r="A127" s="93"/>
      <c r="B127" s="94"/>
      <c r="C127" s="73" t="s">
        <v>416</v>
      </c>
      <c r="D127" s="73">
        <v>24004</v>
      </c>
      <c r="E127" s="74" t="s">
        <v>527</v>
      </c>
      <c r="F127" s="74">
        <v>0.192</v>
      </c>
      <c r="G127" s="74">
        <v>1E-3</v>
      </c>
      <c r="H127" s="74" t="s">
        <v>1356</v>
      </c>
      <c r="I127" s="74">
        <v>0.19</v>
      </c>
      <c r="J127" s="74">
        <v>1E-3</v>
      </c>
      <c r="K127" s="75" t="s">
        <v>529</v>
      </c>
      <c r="L127" s="75">
        <v>0.193</v>
      </c>
      <c r="M127" s="75">
        <v>0.13200000000000001</v>
      </c>
      <c r="N127" s="75" t="s">
        <v>1360</v>
      </c>
      <c r="O127" s="75">
        <v>0.191</v>
      </c>
      <c r="P127" s="75">
        <v>0.154</v>
      </c>
    </row>
    <row r="128" spans="1:16" x14ac:dyDescent="0.55000000000000004">
      <c r="A128" s="93"/>
      <c r="B128" s="94"/>
      <c r="C128" s="73" t="s">
        <v>421</v>
      </c>
      <c r="D128" s="73">
        <v>17869</v>
      </c>
      <c r="E128" s="74" t="s">
        <v>527</v>
      </c>
      <c r="F128" s="74">
        <v>0.317</v>
      </c>
      <c r="G128" s="74" t="s">
        <v>18</v>
      </c>
      <c r="H128" s="74" t="s">
        <v>1357</v>
      </c>
      <c r="I128" s="74">
        <v>0.317</v>
      </c>
      <c r="J128" s="74" t="s">
        <v>18</v>
      </c>
      <c r="K128" s="75" t="s">
        <v>1358</v>
      </c>
      <c r="L128" s="75">
        <v>0.32300000000000001</v>
      </c>
      <c r="M128" s="75" t="s">
        <v>18</v>
      </c>
      <c r="N128" s="75" t="s">
        <v>1361</v>
      </c>
      <c r="O128" s="75">
        <v>0.32300000000000001</v>
      </c>
      <c r="P128" s="75" t="s">
        <v>18</v>
      </c>
    </row>
    <row r="129" spans="1:16" x14ac:dyDescent="0.55000000000000004">
      <c r="A129" s="93"/>
      <c r="B129" s="94" t="s">
        <v>438</v>
      </c>
      <c r="C129" s="73" t="s">
        <v>265</v>
      </c>
      <c r="D129" s="73">
        <v>41873</v>
      </c>
      <c r="E129" s="74" t="s">
        <v>1365</v>
      </c>
      <c r="F129" s="74">
        <v>0.66900000000000004</v>
      </c>
      <c r="G129" s="74" t="s">
        <v>18</v>
      </c>
      <c r="H129" s="74" t="s">
        <v>1362</v>
      </c>
      <c r="I129" s="74">
        <v>0.67800000000000005</v>
      </c>
      <c r="J129" s="74" t="s">
        <v>18</v>
      </c>
      <c r="K129" s="75" t="s">
        <v>1369</v>
      </c>
      <c r="L129" s="75">
        <v>0.67100000000000004</v>
      </c>
      <c r="M129" s="75" t="s">
        <v>18</v>
      </c>
      <c r="N129" s="75" t="s">
        <v>1366</v>
      </c>
      <c r="O129" s="75">
        <v>0.67900000000000005</v>
      </c>
      <c r="P129" s="75" t="s">
        <v>18</v>
      </c>
    </row>
    <row r="130" spans="1:16" x14ac:dyDescent="0.55000000000000004">
      <c r="A130" s="93"/>
      <c r="B130" s="94"/>
      <c r="C130" s="73" t="s">
        <v>416</v>
      </c>
      <c r="D130" s="73">
        <v>24004</v>
      </c>
      <c r="E130" s="74" t="s">
        <v>577</v>
      </c>
      <c r="F130" s="74">
        <v>0.629</v>
      </c>
      <c r="G130" s="74" t="s">
        <v>18</v>
      </c>
      <c r="H130" s="74" t="s">
        <v>1363</v>
      </c>
      <c r="I130" s="74">
        <v>0.61199999999999999</v>
      </c>
      <c r="J130" s="74" t="s">
        <v>18</v>
      </c>
      <c r="K130" s="75" t="s">
        <v>1370</v>
      </c>
      <c r="L130" s="75">
        <v>0.63</v>
      </c>
      <c r="M130" s="75">
        <v>1.0999999999999999E-2</v>
      </c>
      <c r="N130" s="75" t="s">
        <v>1367</v>
      </c>
      <c r="O130" s="75">
        <v>0.61299999999999999</v>
      </c>
      <c r="P130" s="75" t="s">
        <v>18</v>
      </c>
    </row>
    <row r="131" spans="1:16" x14ac:dyDescent="0.55000000000000004">
      <c r="A131" s="93"/>
      <c r="B131" s="94"/>
      <c r="C131" s="73" t="s">
        <v>421</v>
      </c>
      <c r="D131" s="73">
        <v>17869</v>
      </c>
      <c r="E131" s="74" t="s">
        <v>551</v>
      </c>
      <c r="F131" s="74">
        <v>0.60599999999999998</v>
      </c>
      <c r="G131" s="74" t="s">
        <v>18</v>
      </c>
      <c r="H131" s="74" t="s">
        <v>1364</v>
      </c>
      <c r="I131" s="74">
        <v>0.59</v>
      </c>
      <c r="J131" s="74" t="s">
        <v>18</v>
      </c>
      <c r="K131" s="75" t="s">
        <v>1371</v>
      </c>
      <c r="L131" s="75">
        <v>0.61199999999999999</v>
      </c>
      <c r="M131" s="75">
        <v>0.99</v>
      </c>
      <c r="N131" s="75" t="s">
        <v>1368</v>
      </c>
      <c r="O131" s="75">
        <v>0.59399999999999997</v>
      </c>
      <c r="P131" s="75">
        <v>0.47799999999999998</v>
      </c>
    </row>
    <row r="132" spans="1:16" x14ac:dyDescent="0.55000000000000004">
      <c r="A132" s="93"/>
      <c r="B132" s="94" t="s">
        <v>451</v>
      </c>
      <c r="C132" s="73" t="s">
        <v>265</v>
      </c>
      <c r="D132" s="73">
        <v>41873</v>
      </c>
      <c r="E132" s="74" t="s">
        <v>1397</v>
      </c>
      <c r="F132" s="74">
        <v>0.83399999999999996</v>
      </c>
      <c r="G132" s="74">
        <v>2E-3</v>
      </c>
      <c r="H132" s="74" t="s">
        <v>1394</v>
      </c>
      <c r="I132" s="74">
        <v>0.79200000000000004</v>
      </c>
      <c r="J132" s="74" t="s">
        <v>18</v>
      </c>
      <c r="K132" s="75" t="s">
        <v>1400</v>
      </c>
      <c r="L132" s="75">
        <v>0.83799999999999997</v>
      </c>
      <c r="M132" s="75" t="s">
        <v>18</v>
      </c>
      <c r="N132" s="75" t="s">
        <v>1403</v>
      </c>
      <c r="O132" s="75">
        <v>0.79400000000000004</v>
      </c>
      <c r="P132" s="75">
        <v>7.8E-2</v>
      </c>
    </row>
    <row r="133" spans="1:16" x14ac:dyDescent="0.55000000000000004">
      <c r="A133" s="93"/>
      <c r="B133" s="94"/>
      <c r="C133" s="73" t="s">
        <v>416</v>
      </c>
      <c r="D133" s="73">
        <v>24004</v>
      </c>
      <c r="E133" s="74" t="s">
        <v>1398</v>
      </c>
      <c r="F133" s="74">
        <v>0.84</v>
      </c>
      <c r="G133" s="74" t="s">
        <v>18</v>
      </c>
      <c r="H133" s="74" t="s">
        <v>1395</v>
      </c>
      <c r="I133" s="74">
        <v>0.79300000000000004</v>
      </c>
      <c r="J133" s="74" t="s">
        <v>18</v>
      </c>
      <c r="K133" s="75" t="s">
        <v>1401</v>
      </c>
      <c r="L133" s="75">
        <v>0.84299999999999997</v>
      </c>
      <c r="M133" s="75">
        <v>0.56299999999999994</v>
      </c>
      <c r="N133" s="75" t="s">
        <v>1404</v>
      </c>
      <c r="O133" s="75">
        <v>0.79500000000000004</v>
      </c>
      <c r="P133" s="75">
        <v>1.2E-2</v>
      </c>
    </row>
    <row r="134" spans="1:16" x14ac:dyDescent="0.55000000000000004">
      <c r="A134" s="93"/>
      <c r="B134" s="94"/>
      <c r="C134" s="73" t="s">
        <v>421</v>
      </c>
      <c r="D134" s="73">
        <v>17869</v>
      </c>
      <c r="E134" s="74" t="s">
        <v>1399</v>
      </c>
      <c r="F134" s="74">
        <v>0.71199999999999997</v>
      </c>
      <c r="G134" s="74" t="s">
        <v>18</v>
      </c>
      <c r="H134" s="74" t="s">
        <v>1396</v>
      </c>
      <c r="I134" s="74">
        <v>0.68200000000000005</v>
      </c>
      <c r="J134" s="74" t="s">
        <v>18</v>
      </c>
      <c r="K134" s="75" t="s">
        <v>1402</v>
      </c>
      <c r="L134" s="75">
        <v>0.72199999999999998</v>
      </c>
      <c r="M134" s="75">
        <v>0.26600000000000001</v>
      </c>
      <c r="N134" s="75" t="s">
        <v>1405</v>
      </c>
      <c r="O134" s="75">
        <v>0.68799999999999994</v>
      </c>
      <c r="P134" s="75">
        <v>0.14899999999999999</v>
      </c>
    </row>
    <row r="135" spans="1:16" x14ac:dyDescent="0.55000000000000004">
      <c r="A135" s="93"/>
      <c r="B135" s="94" t="s">
        <v>464</v>
      </c>
      <c r="C135" s="73" t="s">
        <v>265</v>
      </c>
      <c r="D135" s="73">
        <v>41873</v>
      </c>
      <c r="E135" s="74" t="s">
        <v>1430</v>
      </c>
      <c r="F135" s="74">
        <v>0.39300000000000002</v>
      </c>
      <c r="G135" s="74" t="s">
        <v>18</v>
      </c>
      <c r="H135" s="74" t="s">
        <v>1433</v>
      </c>
      <c r="I135" s="74">
        <v>0.39900000000000002</v>
      </c>
      <c r="J135" s="74" t="s">
        <v>18</v>
      </c>
      <c r="K135" s="75" t="s">
        <v>1436</v>
      </c>
      <c r="L135" s="75">
        <v>0.39900000000000002</v>
      </c>
      <c r="M135" s="75" t="s">
        <v>18</v>
      </c>
      <c r="N135" s="75" t="s">
        <v>1439</v>
      </c>
      <c r="O135" s="75">
        <v>0.40400000000000003</v>
      </c>
      <c r="P135" s="75" t="s">
        <v>18</v>
      </c>
    </row>
    <row r="136" spans="1:16" x14ac:dyDescent="0.55000000000000004">
      <c r="A136" s="93"/>
      <c r="B136" s="94"/>
      <c r="C136" s="73" t="s">
        <v>416</v>
      </c>
      <c r="D136" s="73">
        <v>24004</v>
      </c>
      <c r="E136" s="74" t="s">
        <v>1431</v>
      </c>
      <c r="F136" s="74">
        <v>0.372</v>
      </c>
      <c r="G136" s="74" t="s">
        <v>18</v>
      </c>
      <c r="H136" s="74" t="s">
        <v>1434</v>
      </c>
      <c r="I136" s="74">
        <v>0.377</v>
      </c>
      <c r="J136" s="74" t="s">
        <v>18</v>
      </c>
      <c r="K136" s="75" t="s">
        <v>1437</v>
      </c>
      <c r="L136" s="75">
        <v>0.379</v>
      </c>
      <c r="M136" s="75" t="s">
        <v>18</v>
      </c>
      <c r="N136" s="75" t="s">
        <v>1440</v>
      </c>
      <c r="O136" s="75">
        <v>0.38400000000000001</v>
      </c>
      <c r="P136" s="75" t="s">
        <v>18</v>
      </c>
    </row>
    <row r="137" spans="1:16" x14ac:dyDescent="0.55000000000000004">
      <c r="A137" s="93"/>
      <c r="B137" s="94"/>
      <c r="C137" s="73" t="s">
        <v>421</v>
      </c>
      <c r="D137" s="73">
        <v>17869</v>
      </c>
      <c r="E137" s="74" t="s">
        <v>1432</v>
      </c>
      <c r="F137" s="74">
        <v>0.33900000000000002</v>
      </c>
      <c r="G137" s="74" t="s">
        <v>18</v>
      </c>
      <c r="H137" s="74" t="s">
        <v>1435</v>
      </c>
      <c r="I137" s="74">
        <v>0.34300000000000003</v>
      </c>
      <c r="J137" s="74" t="s">
        <v>18</v>
      </c>
      <c r="K137" s="75" t="s">
        <v>1438</v>
      </c>
      <c r="L137" s="75">
        <v>0.34499999999999997</v>
      </c>
      <c r="M137" s="75" t="s">
        <v>18</v>
      </c>
      <c r="N137" s="75" t="s">
        <v>1441</v>
      </c>
      <c r="O137" s="75">
        <v>0.34799999999999998</v>
      </c>
      <c r="P137" s="75" t="s">
        <v>18</v>
      </c>
    </row>
    <row r="138" spans="1:16" x14ac:dyDescent="0.55000000000000004">
      <c r="A138" s="93"/>
      <c r="B138" s="94" t="s">
        <v>477</v>
      </c>
      <c r="C138" s="73" t="s">
        <v>265</v>
      </c>
      <c r="D138" s="73">
        <v>41873</v>
      </c>
      <c r="E138" s="74" t="s">
        <v>1466</v>
      </c>
      <c r="F138" s="74">
        <v>0.66300000000000003</v>
      </c>
      <c r="G138" s="74">
        <v>0.98499999999999999</v>
      </c>
      <c r="H138" s="74" t="s">
        <v>1469</v>
      </c>
      <c r="I138" s="74">
        <v>0.68799999999999994</v>
      </c>
      <c r="J138" s="74" t="s">
        <v>18</v>
      </c>
      <c r="K138" s="75" t="s">
        <v>1472</v>
      </c>
      <c r="L138" s="75">
        <v>0.70399999999999996</v>
      </c>
      <c r="M138" s="75" t="s">
        <v>18</v>
      </c>
      <c r="N138" s="75" t="s">
        <v>1362</v>
      </c>
      <c r="O138" s="75">
        <v>0.68</v>
      </c>
      <c r="P138" s="75" t="s">
        <v>18</v>
      </c>
    </row>
    <row r="139" spans="1:16" x14ac:dyDescent="0.55000000000000004">
      <c r="A139" s="93"/>
      <c r="B139" s="94"/>
      <c r="C139" s="73" t="s">
        <v>416</v>
      </c>
      <c r="D139" s="73">
        <v>24004</v>
      </c>
      <c r="E139" s="74" t="s">
        <v>1467</v>
      </c>
      <c r="F139" s="74">
        <v>0.32500000000000001</v>
      </c>
      <c r="G139" s="74" t="s">
        <v>18</v>
      </c>
      <c r="H139" s="74" t="s">
        <v>1470</v>
      </c>
      <c r="I139" s="74">
        <v>0.33300000000000002</v>
      </c>
      <c r="J139" s="74" t="s">
        <v>18</v>
      </c>
      <c r="K139" s="75" t="s">
        <v>1473</v>
      </c>
      <c r="L139" s="75">
        <v>0.36199999999999999</v>
      </c>
      <c r="M139" s="75" t="s">
        <v>18</v>
      </c>
      <c r="N139" s="75" t="s">
        <v>1475</v>
      </c>
      <c r="O139" s="75">
        <v>0.35499999999999998</v>
      </c>
      <c r="P139" s="75" t="s">
        <v>18</v>
      </c>
    </row>
    <row r="140" spans="1:16" x14ac:dyDescent="0.55000000000000004">
      <c r="A140" s="93"/>
      <c r="B140" s="94"/>
      <c r="C140" s="73" t="s">
        <v>421</v>
      </c>
      <c r="D140" s="73">
        <v>17869</v>
      </c>
      <c r="E140" s="74" t="s">
        <v>1468</v>
      </c>
      <c r="F140" s="74">
        <v>0.38700000000000001</v>
      </c>
      <c r="G140" s="74" t="s">
        <v>18</v>
      </c>
      <c r="H140" s="74" t="s">
        <v>1471</v>
      </c>
      <c r="I140" s="74">
        <v>0.39100000000000001</v>
      </c>
      <c r="J140" s="74" t="s">
        <v>18</v>
      </c>
      <c r="K140" s="75" t="s">
        <v>1474</v>
      </c>
      <c r="L140" s="75">
        <v>0.432</v>
      </c>
      <c r="M140" s="75">
        <v>1E-3</v>
      </c>
      <c r="N140" s="75" t="s">
        <v>1476</v>
      </c>
      <c r="O140" s="75">
        <v>0.43</v>
      </c>
      <c r="P140" s="75" t="s">
        <v>18</v>
      </c>
    </row>
    <row r="141" spans="1:16" x14ac:dyDescent="0.55000000000000004">
      <c r="A141" s="93"/>
      <c r="B141" s="94" t="s">
        <v>490</v>
      </c>
      <c r="C141" s="73" t="s">
        <v>265</v>
      </c>
      <c r="D141" s="73">
        <v>33363</v>
      </c>
      <c r="E141" s="74" t="s">
        <v>1501</v>
      </c>
      <c r="F141" s="74">
        <v>0.22800000000000001</v>
      </c>
      <c r="G141" s="74">
        <v>1.4E-2</v>
      </c>
      <c r="H141" s="74" t="s">
        <v>1504</v>
      </c>
      <c r="I141" s="74">
        <v>0.35899999999999999</v>
      </c>
      <c r="J141" s="74" t="s">
        <v>18</v>
      </c>
      <c r="K141" s="75" t="s">
        <v>1509</v>
      </c>
      <c r="L141" s="75">
        <v>0.23</v>
      </c>
      <c r="M141" s="75">
        <v>0.89800000000000002</v>
      </c>
      <c r="N141" s="75" t="s">
        <v>686</v>
      </c>
      <c r="O141" s="75">
        <v>0.36</v>
      </c>
      <c r="P141" s="75">
        <v>4.0000000000000001E-3</v>
      </c>
    </row>
    <row r="142" spans="1:16" x14ac:dyDescent="0.55000000000000004">
      <c r="A142" s="93"/>
      <c r="B142" s="94"/>
      <c r="C142" s="73" t="s">
        <v>416</v>
      </c>
      <c r="D142" s="73">
        <v>19137</v>
      </c>
      <c r="E142" s="74" t="s">
        <v>1502</v>
      </c>
      <c r="F142" s="74">
        <v>0.224</v>
      </c>
      <c r="G142" s="74">
        <v>4.1000000000000002E-2</v>
      </c>
      <c r="H142" s="74" t="s">
        <v>1505</v>
      </c>
      <c r="I142" s="74">
        <v>0.34100000000000003</v>
      </c>
      <c r="J142" s="74">
        <v>0.128</v>
      </c>
      <c r="K142" s="75" t="s">
        <v>1510</v>
      </c>
      <c r="L142" s="75">
        <v>0.224</v>
      </c>
      <c r="M142" s="75">
        <v>5.0000000000000001E-3</v>
      </c>
      <c r="N142" s="75" t="s">
        <v>1507</v>
      </c>
      <c r="O142" s="75">
        <v>0.34100000000000003</v>
      </c>
      <c r="P142" s="75">
        <v>0.50600000000000001</v>
      </c>
    </row>
    <row r="143" spans="1:16" x14ac:dyDescent="0.55000000000000004">
      <c r="A143" s="93"/>
      <c r="B143" s="94"/>
      <c r="C143" s="73" t="s">
        <v>421</v>
      </c>
      <c r="D143" s="73">
        <v>14226</v>
      </c>
      <c r="E143" s="74" t="s">
        <v>1503</v>
      </c>
      <c r="F143" s="74">
        <v>0.21</v>
      </c>
      <c r="G143" s="74">
        <v>0.754</v>
      </c>
      <c r="H143" s="74" t="s">
        <v>1506</v>
      </c>
      <c r="I143" s="74">
        <v>0.27800000000000002</v>
      </c>
      <c r="J143" s="74">
        <v>0.88</v>
      </c>
      <c r="K143" s="75" t="s">
        <v>1511</v>
      </c>
      <c r="L143" s="75">
        <v>0.21199999999999999</v>
      </c>
      <c r="M143" s="75">
        <v>0.01</v>
      </c>
      <c r="N143" s="75" t="s">
        <v>1508</v>
      </c>
      <c r="O143" s="75">
        <v>0.27900000000000003</v>
      </c>
      <c r="P143" s="75">
        <v>8.5000000000000006E-2</v>
      </c>
    </row>
    <row r="144" spans="1:16" x14ac:dyDescent="0.55000000000000004">
      <c r="A144" s="93"/>
      <c r="B144" s="94" t="s">
        <v>503</v>
      </c>
      <c r="C144" s="73" t="s">
        <v>265</v>
      </c>
      <c r="D144" s="73">
        <v>24033</v>
      </c>
      <c r="E144" s="85" t="s">
        <v>1537</v>
      </c>
      <c r="F144" s="85">
        <v>0.25800000000000001</v>
      </c>
      <c r="G144" s="85">
        <v>4.5999999999999999E-2</v>
      </c>
      <c r="H144" s="74" t="s">
        <v>1534</v>
      </c>
      <c r="I144" s="74">
        <v>0.35</v>
      </c>
      <c r="J144" s="74" t="s">
        <v>18</v>
      </c>
      <c r="K144" s="75" t="s">
        <v>1540</v>
      </c>
      <c r="L144" s="75">
        <v>0.25800000000000001</v>
      </c>
      <c r="M144" s="75">
        <v>0.215</v>
      </c>
      <c r="N144" s="75" t="s">
        <v>1543</v>
      </c>
      <c r="O144" s="75">
        <v>0.35</v>
      </c>
      <c r="P144" s="75" t="s">
        <v>18</v>
      </c>
    </row>
    <row r="145" spans="1:16" x14ac:dyDescent="0.55000000000000004">
      <c r="A145" s="93"/>
      <c r="B145" s="94"/>
      <c r="C145" s="73" t="s">
        <v>416</v>
      </c>
      <c r="D145" s="73">
        <v>13807</v>
      </c>
      <c r="E145" s="85" t="s">
        <v>1538</v>
      </c>
      <c r="F145" s="85">
        <v>0.24199999999999999</v>
      </c>
      <c r="G145" s="85">
        <v>8.9999999999999993E-3</v>
      </c>
      <c r="H145" s="74" t="s">
        <v>1535</v>
      </c>
      <c r="I145" s="74">
        <v>0.312</v>
      </c>
      <c r="J145" s="74" t="s">
        <v>18</v>
      </c>
      <c r="K145" s="75" t="s">
        <v>1541</v>
      </c>
      <c r="L145" s="75">
        <v>0.24199999999999999</v>
      </c>
      <c r="M145" s="75">
        <v>4.1000000000000002E-2</v>
      </c>
      <c r="N145" s="75" t="s">
        <v>1544</v>
      </c>
      <c r="O145" s="75">
        <v>0.312</v>
      </c>
      <c r="P145" s="75" t="s">
        <v>18</v>
      </c>
    </row>
    <row r="146" spans="1:16" x14ac:dyDescent="0.55000000000000004">
      <c r="A146" s="93"/>
      <c r="B146" s="94"/>
      <c r="C146" s="73" t="s">
        <v>421</v>
      </c>
      <c r="D146" s="73">
        <v>10226</v>
      </c>
      <c r="E146" s="85" t="s">
        <v>1539</v>
      </c>
      <c r="F146" s="85">
        <v>0.14599999999999999</v>
      </c>
      <c r="G146" s="85">
        <v>8.9999999999999993E-3</v>
      </c>
      <c r="H146" s="74" t="s">
        <v>1536</v>
      </c>
      <c r="I146" s="74">
        <v>0.187</v>
      </c>
      <c r="J146" s="74">
        <v>1.9E-2</v>
      </c>
      <c r="K146" s="75" t="s">
        <v>1542</v>
      </c>
      <c r="L146" s="75">
        <v>0.14599999999999999</v>
      </c>
      <c r="M146" s="75">
        <v>0.1</v>
      </c>
      <c r="N146" s="75" t="s">
        <v>1545</v>
      </c>
      <c r="O146" s="75">
        <v>0.187</v>
      </c>
      <c r="P146" s="75">
        <v>0.13100000000000001</v>
      </c>
    </row>
    <row r="147" spans="1:16" x14ac:dyDescent="0.55000000000000004">
      <c r="A147" s="93" t="s">
        <v>134</v>
      </c>
      <c r="B147" s="94" t="s">
        <v>411</v>
      </c>
      <c r="C147" s="73" t="s">
        <v>265</v>
      </c>
      <c r="D147" s="73">
        <v>41873</v>
      </c>
      <c r="E147" s="74" t="s">
        <v>1305</v>
      </c>
      <c r="F147" s="74">
        <v>9.1999999999999998E-2</v>
      </c>
      <c r="G147" s="74" t="s">
        <v>18</v>
      </c>
      <c r="H147" s="74" t="s">
        <v>1302</v>
      </c>
      <c r="I147" s="74">
        <v>0.1</v>
      </c>
      <c r="J147" s="74" t="s">
        <v>18</v>
      </c>
      <c r="K147" s="75" t="s">
        <v>1308</v>
      </c>
      <c r="L147" s="75">
        <v>0.14199999999999999</v>
      </c>
      <c r="M147" s="75" t="s">
        <v>18</v>
      </c>
      <c r="N147" s="75" t="s">
        <v>1311</v>
      </c>
      <c r="O147" s="75">
        <v>0.154</v>
      </c>
      <c r="P147" s="75" t="s">
        <v>18</v>
      </c>
    </row>
    <row r="148" spans="1:16" x14ac:dyDescent="0.55000000000000004">
      <c r="A148" s="93"/>
      <c r="B148" s="94"/>
      <c r="C148" s="73" t="s">
        <v>416</v>
      </c>
      <c r="D148" s="73">
        <v>24004</v>
      </c>
      <c r="E148" s="74" t="s">
        <v>1306</v>
      </c>
      <c r="F148" s="74">
        <v>9.5000000000000001E-2</v>
      </c>
      <c r="G148" s="74" t="s">
        <v>18</v>
      </c>
      <c r="H148" s="74" t="s">
        <v>1303</v>
      </c>
      <c r="I148" s="74">
        <v>8.8999999999999996E-2</v>
      </c>
      <c r="J148" s="74" t="s">
        <v>18</v>
      </c>
      <c r="K148" s="75" t="s">
        <v>1309</v>
      </c>
      <c r="L148" s="75">
        <v>0.154</v>
      </c>
      <c r="M148" s="75" t="s">
        <v>18</v>
      </c>
      <c r="N148" s="75" t="s">
        <v>1312</v>
      </c>
      <c r="O148" s="75">
        <v>0.153</v>
      </c>
      <c r="P148" s="75" t="s">
        <v>18</v>
      </c>
    </row>
    <row r="149" spans="1:16" x14ac:dyDescent="0.55000000000000004">
      <c r="A149" s="93"/>
      <c r="B149" s="94"/>
      <c r="C149" s="73" t="s">
        <v>421</v>
      </c>
      <c r="D149" s="73">
        <v>17869</v>
      </c>
      <c r="E149" s="74" t="s">
        <v>1307</v>
      </c>
      <c r="F149" s="74">
        <v>0.05</v>
      </c>
      <c r="G149" s="74" t="s">
        <v>18</v>
      </c>
      <c r="H149" s="74" t="s">
        <v>1304</v>
      </c>
      <c r="I149" s="74">
        <v>4.8000000000000001E-2</v>
      </c>
      <c r="J149" s="74" t="s">
        <v>18</v>
      </c>
      <c r="K149" s="75" t="s">
        <v>1310</v>
      </c>
      <c r="L149" s="75">
        <v>9.5000000000000001E-2</v>
      </c>
      <c r="M149" s="75" t="s">
        <v>18</v>
      </c>
      <c r="N149" s="75" t="s">
        <v>1313</v>
      </c>
      <c r="O149" s="75">
        <v>0.10199999999999999</v>
      </c>
      <c r="P149" s="75" t="s">
        <v>18</v>
      </c>
    </row>
    <row r="150" spans="1:16" x14ac:dyDescent="0.55000000000000004">
      <c r="A150" s="93"/>
      <c r="B150" s="94" t="s">
        <v>426</v>
      </c>
      <c r="C150" s="73" t="s">
        <v>265</v>
      </c>
      <c r="D150" s="73">
        <v>41873</v>
      </c>
      <c r="E150" s="74" t="s">
        <v>628</v>
      </c>
      <c r="F150" s="74">
        <v>0.56699999999999995</v>
      </c>
      <c r="G150" s="74" t="s">
        <v>18</v>
      </c>
      <c r="H150" s="74" t="s">
        <v>1349</v>
      </c>
      <c r="I150" s="74">
        <v>0.55200000000000005</v>
      </c>
      <c r="J150" s="74" t="s">
        <v>18</v>
      </c>
      <c r="K150" s="75" t="s">
        <v>623</v>
      </c>
      <c r="L150" s="75">
        <v>0.56699999999999995</v>
      </c>
      <c r="M150" s="75" t="s">
        <v>18</v>
      </c>
      <c r="N150" s="75" t="s">
        <v>1352</v>
      </c>
      <c r="O150" s="75">
        <v>0.55200000000000005</v>
      </c>
      <c r="P150" s="75" t="s">
        <v>18</v>
      </c>
    </row>
    <row r="151" spans="1:16" x14ac:dyDescent="0.55000000000000004">
      <c r="A151" s="93"/>
      <c r="B151" s="94"/>
      <c r="C151" s="73" t="s">
        <v>416</v>
      </c>
      <c r="D151" s="73">
        <v>24004</v>
      </c>
      <c r="E151" s="74" t="s">
        <v>1347</v>
      </c>
      <c r="F151" s="74">
        <v>0.19400000000000001</v>
      </c>
      <c r="G151" s="74" t="s">
        <v>18</v>
      </c>
      <c r="H151" s="74" t="s">
        <v>1350</v>
      </c>
      <c r="I151" s="74">
        <v>0.193</v>
      </c>
      <c r="J151" s="74" t="s">
        <v>18</v>
      </c>
      <c r="K151" s="75" t="s">
        <v>623</v>
      </c>
      <c r="L151" s="75">
        <v>0.19500000000000001</v>
      </c>
      <c r="M151" s="75" t="s">
        <v>18</v>
      </c>
      <c r="N151" s="75" t="s">
        <v>1353</v>
      </c>
      <c r="O151" s="75">
        <v>0.193</v>
      </c>
      <c r="P151" s="75" t="s">
        <v>18</v>
      </c>
    </row>
    <row r="152" spans="1:16" x14ac:dyDescent="0.55000000000000004">
      <c r="A152" s="93"/>
      <c r="B152" s="94"/>
      <c r="C152" s="73" t="s">
        <v>421</v>
      </c>
      <c r="D152" s="73">
        <v>17869</v>
      </c>
      <c r="E152" s="74" t="s">
        <v>1348</v>
      </c>
      <c r="F152" s="74">
        <v>0.32</v>
      </c>
      <c r="G152" s="74" t="s">
        <v>18</v>
      </c>
      <c r="H152" s="74" t="s">
        <v>1351</v>
      </c>
      <c r="I152" s="74">
        <v>0.32</v>
      </c>
      <c r="J152" s="74" t="s">
        <v>18</v>
      </c>
      <c r="K152" s="75" t="s">
        <v>1347</v>
      </c>
      <c r="L152" s="75">
        <v>0.32600000000000001</v>
      </c>
      <c r="M152" s="75" t="s">
        <v>18</v>
      </c>
      <c r="N152" s="75" t="s">
        <v>1354</v>
      </c>
      <c r="O152" s="75">
        <v>0.32600000000000001</v>
      </c>
      <c r="P152" s="75" t="s">
        <v>18</v>
      </c>
    </row>
    <row r="153" spans="1:16" x14ac:dyDescent="0.55000000000000004">
      <c r="A153" s="93"/>
      <c r="B153" s="94" t="s">
        <v>438</v>
      </c>
      <c r="C153" s="73" t="s">
        <v>265</v>
      </c>
      <c r="D153" s="73">
        <v>41873</v>
      </c>
      <c r="E153" s="74" t="s">
        <v>1372</v>
      </c>
      <c r="F153" s="74">
        <v>0.67100000000000004</v>
      </c>
      <c r="G153" s="74">
        <v>6.9000000000000006E-2</v>
      </c>
      <c r="H153" s="74" t="s">
        <v>1375</v>
      </c>
      <c r="I153" s="74">
        <v>0.67800000000000005</v>
      </c>
      <c r="J153" s="74" t="s">
        <v>18</v>
      </c>
      <c r="K153" s="75" t="s">
        <v>1378</v>
      </c>
      <c r="L153" s="75">
        <v>0.67600000000000005</v>
      </c>
      <c r="M153" s="75" t="s">
        <v>18</v>
      </c>
      <c r="N153" s="75" t="s">
        <v>1380</v>
      </c>
      <c r="O153" s="75">
        <v>0.68200000000000005</v>
      </c>
      <c r="P153" s="75" t="s">
        <v>18</v>
      </c>
    </row>
    <row r="154" spans="1:16" x14ac:dyDescent="0.55000000000000004">
      <c r="A154" s="93"/>
      <c r="B154" s="94"/>
      <c r="C154" s="73" t="s">
        <v>416</v>
      </c>
      <c r="D154" s="73">
        <v>24004</v>
      </c>
      <c r="E154" s="74" t="s">
        <v>1373</v>
      </c>
      <c r="F154" s="74">
        <v>0.63100000000000001</v>
      </c>
      <c r="G154" s="74" t="s">
        <v>18</v>
      </c>
      <c r="H154" s="74" t="s">
        <v>1376</v>
      </c>
      <c r="I154" s="74">
        <v>0.61199999999999999</v>
      </c>
      <c r="J154" s="74" t="s">
        <v>18</v>
      </c>
      <c r="K154" s="75" t="s">
        <v>1379</v>
      </c>
      <c r="L154" s="75">
        <v>0.63400000000000001</v>
      </c>
      <c r="M154" s="75" t="s">
        <v>18</v>
      </c>
      <c r="N154" s="75" t="s">
        <v>1381</v>
      </c>
      <c r="O154" s="75">
        <v>0.61499999999999999</v>
      </c>
      <c r="P154" s="75" t="s">
        <v>18</v>
      </c>
    </row>
    <row r="155" spans="1:16" x14ac:dyDescent="0.55000000000000004">
      <c r="A155" s="93"/>
      <c r="B155" s="94"/>
      <c r="C155" s="73" t="s">
        <v>421</v>
      </c>
      <c r="D155" s="73">
        <v>17869</v>
      </c>
      <c r="E155" s="74" t="s">
        <v>1374</v>
      </c>
      <c r="F155" s="74">
        <v>0.60799999999999998</v>
      </c>
      <c r="G155" s="74" t="s">
        <v>18</v>
      </c>
      <c r="H155" s="74" t="s">
        <v>1377</v>
      </c>
      <c r="I155" s="74">
        <v>0.59199999999999997</v>
      </c>
      <c r="J155" s="74" t="s">
        <v>18</v>
      </c>
      <c r="K155" s="75" t="s">
        <v>481</v>
      </c>
      <c r="L155" s="75">
        <v>0.61699999999999999</v>
      </c>
      <c r="M155" s="75" t="s">
        <v>18</v>
      </c>
      <c r="N155" s="75" t="s">
        <v>1382</v>
      </c>
      <c r="O155" s="75">
        <v>0.59899999999999998</v>
      </c>
      <c r="P155" s="75" t="s">
        <v>18</v>
      </c>
    </row>
    <row r="156" spans="1:16" x14ac:dyDescent="0.55000000000000004">
      <c r="A156" s="93"/>
      <c r="B156" s="94" t="s">
        <v>451</v>
      </c>
      <c r="C156" s="73" t="s">
        <v>265</v>
      </c>
      <c r="D156" s="73">
        <v>41873</v>
      </c>
      <c r="E156" s="74" t="s">
        <v>1406</v>
      </c>
      <c r="F156" s="74">
        <v>0.83499999999999996</v>
      </c>
      <c r="G156" s="74" t="s">
        <v>18</v>
      </c>
      <c r="H156" s="74" t="s">
        <v>1409</v>
      </c>
      <c r="I156" s="74">
        <v>0.79100000000000004</v>
      </c>
      <c r="J156" s="74" t="s">
        <v>18</v>
      </c>
      <c r="K156" s="75" t="s">
        <v>1415</v>
      </c>
      <c r="L156" s="75">
        <v>0.84</v>
      </c>
      <c r="M156" s="75" t="s">
        <v>18</v>
      </c>
      <c r="N156" s="75" t="s">
        <v>1412</v>
      </c>
      <c r="O156" s="75">
        <v>0.79500000000000004</v>
      </c>
      <c r="P156" s="75" t="s">
        <v>18</v>
      </c>
    </row>
    <row r="157" spans="1:16" x14ac:dyDescent="0.55000000000000004">
      <c r="A157" s="93"/>
      <c r="B157" s="94"/>
      <c r="C157" s="73" t="s">
        <v>416</v>
      </c>
      <c r="D157" s="73">
        <v>24004</v>
      </c>
      <c r="E157" s="74" t="s">
        <v>1407</v>
      </c>
      <c r="F157" s="74">
        <v>0.83899999999999997</v>
      </c>
      <c r="G157" s="74" t="s">
        <v>18</v>
      </c>
      <c r="H157" s="74" t="s">
        <v>1410</v>
      </c>
      <c r="I157" s="74">
        <v>0.79300000000000004</v>
      </c>
      <c r="J157" s="74" t="s">
        <v>18</v>
      </c>
      <c r="K157" s="75" t="s">
        <v>1416</v>
      </c>
      <c r="L157" s="75">
        <v>0.84399999999999997</v>
      </c>
      <c r="M157" s="75" t="s">
        <v>18</v>
      </c>
      <c r="N157" s="75" t="s">
        <v>1413</v>
      </c>
      <c r="O157" s="75">
        <v>0.79600000000000004</v>
      </c>
      <c r="P157" s="75" t="s">
        <v>18</v>
      </c>
    </row>
    <row r="158" spans="1:16" x14ac:dyDescent="0.55000000000000004">
      <c r="A158" s="93"/>
      <c r="B158" s="94"/>
      <c r="C158" s="73" t="s">
        <v>421</v>
      </c>
      <c r="D158" s="73">
        <v>17869</v>
      </c>
      <c r="E158" s="74" t="s">
        <v>1408</v>
      </c>
      <c r="F158" s="74">
        <v>0.71099999999999997</v>
      </c>
      <c r="G158" s="74">
        <v>0.67900000000000005</v>
      </c>
      <c r="H158" s="74" t="s">
        <v>1411</v>
      </c>
      <c r="I158" s="74">
        <v>0.68100000000000005</v>
      </c>
      <c r="J158" s="74">
        <v>0.71899999999999997</v>
      </c>
      <c r="K158" s="75" t="s">
        <v>1417</v>
      </c>
      <c r="L158" s="75">
        <v>0.72199999999999998</v>
      </c>
      <c r="M158" s="75">
        <v>0.67900000000000005</v>
      </c>
      <c r="N158" s="75" t="s">
        <v>1414</v>
      </c>
      <c r="O158" s="75">
        <v>0.68899999999999995</v>
      </c>
      <c r="P158" s="75" t="s">
        <v>18</v>
      </c>
    </row>
    <row r="159" spans="1:16" x14ac:dyDescent="0.55000000000000004">
      <c r="A159" s="93"/>
      <c r="B159" s="94" t="s">
        <v>464</v>
      </c>
      <c r="C159" s="73" t="s">
        <v>265</v>
      </c>
      <c r="D159" s="73">
        <v>41873</v>
      </c>
      <c r="E159" s="74" t="s">
        <v>1442</v>
      </c>
      <c r="F159" s="74">
        <v>0.39</v>
      </c>
      <c r="G159" s="74" t="s">
        <v>18</v>
      </c>
      <c r="H159" s="74" t="s">
        <v>1445</v>
      </c>
      <c r="I159" s="74">
        <v>0.39500000000000002</v>
      </c>
      <c r="J159" s="74" t="s">
        <v>18</v>
      </c>
      <c r="K159" s="75" t="s">
        <v>1448</v>
      </c>
      <c r="L159" s="75">
        <v>0.39800000000000002</v>
      </c>
      <c r="M159" s="75">
        <v>0.26900000000000002</v>
      </c>
      <c r="N159" s="75" t="s">
        <v>1451</v>
      </c>
      <c r="O159" s="75">
        <v>0.40300000000000002</v>
      </c>
      <c r="P159" s="75">
        <v>0.873</v>
      </c>
    </row>
    <row r="160" spans="1:16" x14ac:dyDescent="0.55000000000000004">
      <c r="A160" s="93"/>
      <c r="B160" s="94"/>
      <c r="C160" s="73" t="s">
        <v>416</v>
      </c>
      <c r="D160" s="73">
        <v>24004</v>
      </c>
      <c r="E160" s="74" t="s">
        <v>1443</v>
      </c>
      <c r="F160" s="74">
        <v>0.37</v>
      </c>
      <c r="G160" s="74" t="s">
        <v>18</v>
      </c>
      <c r="H160" s="74" t="s">
        <v>1446</v>
      </c>
      <c r="I160" s="74">
        <v>0.374</v>
      </c>
      <c r="J160" s="74" t="s">
        <v>18</v>
      </c>
      <c r="K160" s="75" t="s">
        <v>1449</v>
      </c>
      <c r="L160" s="75">
        <v>0.378</v>
      </c>
      <c r="M160" s="75">
        <v>0.106</v>
      </c>
      <c r="N160" s="75" t="s">
        <v>1452</v>
      </c>
      <c r="O160" s="75">
        <v>0.38300000000000001</v>
      </c>
      <c r="P160" s="75">
        <v>0.56899999999999995</v>
      </c>
    </row>
    <row r="161" spans="1:16" x14ac:dyDescent="0.55000000000000004">
      <c r="A161" s="93"/>
      <c r="B161" s="94"/>
      <c r="C161" s="73" t="s">
        <v>421</v>
      </c>
      <c r="D161" s="73">
        <v>17869</v>
      </c>
      <c r="E161" s="74" t="s">
        <v>1444</v>
      </c>
      <c r="F161" s="74">
        <v>0.33400000000000002</v>
      </c>
      <c r="G161" s="74" t="s">
        <v>18</v>
      </c>
      <c r="H161" s="74" t="s">
        <v>1447</v>
      </c>
      <c r="I161" s="74">
        <v>0.33700000000000002</v>
      </c>
      <c r="J161" s="74" t="s">
        <v>18</v>
      </c>
      <c r="K161" s="75" t="s">
        <v>1450</v>
      </c>
      <c r="L161" s="75">
        <v>0.34200000000000003</v>
      </c>
      <c r="M161" s="75">
        <v>0.70299999999999996</v>
      </c>
      <c r="N161" s="75" t="s">
        <v>1453</v>
      </c>
      <c r="O161" s="75">
        <v>0.34499999999999997</v>
      </c>
      <c r="P161" s="75">
        <v>0.8</v>
      </c>
    </row>
    <row r="162" spans="1:16" x14ac:dyDescent="0.55000000000000004">
      <c r="A162" s="93"/>
      <c r="B162" s="94" t="s">
        <v>477</v>
      </c>
      <c r="C162" s="73" t="s">
        <v>265</v>
      </c>
      <c r="D162" s="73">
        <v>41873</v>
      </c>
      <c r="E162" s="74" t="s">
        <v>1477</v>
      </c>
      <c r="F162" s="74">
        <v>0.68700000000000006</v>
      </c>
      <c r="G162" s="74" t="s">
        <v>18</v>
      </c>
      <c r="H162" s="74" t="s">
        <v>1480</v>
      </c>
      <c r="I162" s="74">
        <v>0.66300000000000003</v>
      </c>
      <c r="J162" s="74" t="s">
        <v>18</v>
      </c>
      <c r="K162" s="75" t="s">
        <v>1483</v>
      </c>
      <c r="L162" s="75">
        <v>0.70599999999999996</v>
      </c>
      <c r="M162" s="75" t="s">
        <v>18</v>
      </c>
      <c r="N162" s="75" t="s">
        <v>1486</v>
      </c>
      <c r="O162" s="75">
        <v>0.68300000000000005</v>
      </c>
      <c r="P162" s="75" t="s">
        <v>18</v>
      </c>
    </row>
    <row r="163" spans="1:16" x14ac:dyDescent="0.55000000000000004">
      <c r="A163" s="93"/>
      <c r="B163" s="94"/>
      <c r="C163" s="73" t="s">
        <v>416</v>
      </c>
      <c r="D163" s="73">
        <v>24004</v>
      </c>
      <c r="E163" s="74" t="s">
        <v>1478</v>
      </c>
      <c r="F163" s="74">
        <v>0.33300000000000002</v>
      </c>
      <c r="G163" s="74" t="s">
        <v>18</v>
      </c>
      <c r="H163" s="74" t="s">
        <v>1481</v>
      </c>
      <c r="I163" s="74">
        <v>0.32600000000000001</v>
      </c>
      <c r="J163" s="74" t="s">
        <v>18</v>
      </c>
      <c r="K163" s="75" t="s">
        <v>1484</v>
      </c>
      <c r="L163" s="75">
        <v>0.36799999999999999</v>
      </c>
      <c r="M163" s="75" t="s">
        <v>18</v>
      </c>
      <c r="N163" s="75" t="s">
        <v>1487</v>
      </c>
      <c r="O163" s="75">
        <v>0.36099999999999999</v>
      </c>
      <c r="P163" s="75" t="s">
        <v>18</v>
      </c>
    </row>
    <row r="164" spans="1:16" x14ac:dyDescent="0.55000000000000004">
      <c r="A164" s="93"/>
      <c r="B164" s="94"/>
      <c r="C164" s="73" t="s">
        <v>421</v>
      </c>
      <c r="D164" s="73">
        <v>17869</v>
      </c>
      <c r="E164" s="74" t="s">
        <v>1479</v>
      </c>
      <c r="F164" s="74">
        <v>0.39</v>
      </c>
      <c r="G164" s="74" t="s">
        <v>18</v>
      </c>
      <c r="H164" s="74" t="s">
        <v>1482</v>
      </c>
      <c r="I164" s="74">
        <v>0.38600000000000001</v>
      </c>
      <c r="J164" s="74" t="s">
        <v>18</v>
      </c>
      <c r="K164" s="75" t="s">
        <v>1485</v>
      </c>
      <c r="L164" s="75">
        <v>0.439</v>
      </c>
      <c r="M164" s="75" t="s">
        <v>18</v>
      </c>
      <c r="N164" s="75" t="s">
        <v>1488</v>
      </c>
      <c r="O164" s="75">
        <v>0.437</v>
      </c>
      <c r="P164" s="75" t="s">
        <v>18</v>
      </c>
    </row>
    <row r="165" spans="1:16" x14ac:dyDescent="0.55000000000000004">
      <c r="A165" s="93"/>
      <c r="B165" s="94" t="s">
        <v>490</v>
      </c>
      <c r="C165" s="73" t="s">
        <v>265</v>
      </c>
      <c r="D165" s="73">
        <v>33363</v>
      </c>
      <c r="E165" s="74" t="s">
        <v>1515</v>
      </c>
      <c r="F165" s="74">
        <v>0.23200000000000001</v>
      </c>
      <c r="G165" s="74" t="s">
        <v>18</v>
      </c>
      <c r="H165" s="74" t="s">
        <v>1512</v>
      </c>
      <c r="I165" s="74">
        <v>0.36099999999999999</v>
      </c>
      <c r="J165" s="74" t="s">
        <v>18</v>
      </c>
      <c r="K165" s="75" t="s">
        <v>1518</v>
      </c>
      <c r="L165" s="75">
        <v>0.23499999999999999</v>
      </c>
      <c r="M165" s="75" t="s">
        <v>18</v>
      </c>
      <c r="N165" s="75" t="s">
        <v>1521</v>
      </c>
      <c r="O165" s="75">
        <v>0.36399999999999999</v>
      </c>
      <c r="P165" s="75" t="s">
        <v>18</v>
      </c>
    </row>
    <row r="166" spans="1:16" x14ac:dyDescent="0.55000000000000004">
      <c r="A166" s="93"/>
      <c r="B166" s="94"/>
      <c r="C166" s="73" t="s">
        <v>416</v>
      </c>
      <c r="D166" s="73">
        <v>19137</v>
      </c>
      <c r="E166" s="74" t="s">
        <v>1516</v>
      </c>
      <c r="F166" s="74">
        <v>0.22800000000000001</v>
      </c>
      <c r="G166" s="74" t="s">
        <v>18</v>
      </c>
      <c r="H166" s="74" t="s">
        <v>1513</v>
      </c>
      <c r="I166" s="74">
        <v>0.34399999999999997</v>
      </c>
      <c r="J166" s="74" t="s">
        <v>18</v>
      </c>
      <c r="K166" s="75" t="s">
        <v>1519</v>
      </c>
      <c r="L166" s="75">
        <v>0.22900000000000001</v>
      </c>
      <c r="M166" s="75" t="s">
        <v>18</v>
      </c>
      <c r="N166" s="75" t="s">
        <v>1522</v>
      </c>
      <c r="O166" s="75">
        <v>0.34599999999999997</v>
      </c>
      <c r="P166" s="75" t="s">
        <v>18</v>
      </c>
    </row>
    <row r="167" spans="1:16" x14ac:dyDescent="0.55000000000000004">
      <c r="A167" s="93"/>
      <c r="B167" s="94"/>
      <c r="C167" s="73" t="s">
        <v>421</v>
      </c>
      <c r="D167" s="73">
        <v>14226</v>
      </c>
      <c r="E167" s="74" t="s">
        <v>1517</v>
      </c>
      <c r="F167" s="74">
        <v>0.21299999999999999</v>
      </c>
      <c r="G167" s="74" t="s">
        <v>18</v>
      </c>
      <c r="H167" s="74" t="s">
        <v>1514</v>
      </c>
      <c r="I167" s="74">
        <v>0.28299999999999997</v>
      </c>
      <c r="J167" s="74" t="s">
        <v>18</v>
      </c>
      <c r="K167" s="75" t="s">
        <v>1520</v>
      </c>
      <c r="L167" s="75">
        <v>0.218</v>
      </c>
      <c r="M167" s="75" t="s">
        <v>18</v>
      </c>
      <c r="N167" s="75" t="s">
        <v>1523</v>
      </c>
      <c r="O167" s="75">
        <v>0.28499999999999998</v>
      </c>
      <c r="P167" s="75" t="s">
        <v>18</v>
      </c>
    </row>
    <row r="168" spans="1:16" x14ac:dyDescent="0.55000000000000004">
      <c r="A168" s="93"/>
      <c r="B168" s="94" t="s">
        <v>503</v>
      </c>
      <c r="C168" s="73" t="s">
        <v>265</v>
      </c>
      <c r="D168" s="73">
        <v>24033</v>
      </c>
      <c r="E168" s="74" t="s">
        <v>1546</v>
      </c>
      <c r="F168" s="74">
        <v>0.25800000000000001</v>
      </c>
      <c r="G168" s="74">
        <v>1.4E-2</v>
      </c>
      <c r="H168" s="74" t="s">
        <v>1549</v>
      </c>
      <c r="I168" s="74">
        <v>0.35</v>
      </c>
      <c r="J168" s="74">
        <v>7.0000000000000001E-3</v>
      </c>
      <c r="K168" s="75" t="s">
        <v>1552</v>
      </c>
      <c r="L168" s="75">
        <v>0.25900000000000001</v>
      </c>
      <c r="M168" s="75" t="s">
        <v>18</v>
      </c>
      <c r="N168" s="75" t="s">
        <v>1555</v>
      </c>
      <c r="O168" s="75">
        <v>0.35099999999999998</v>
      </c>
      <c r="P168" s="75" t="s">
        <v>18</v>
      </c>
    </row>
    <row r="169" spans="1:16" x14ac:dyDescent="0.55000000000000004">
      <c r="A169" s="93"/>
      <c r="B169" s="94"/>
      <c r="C169" s="73" t="s">
        <v>416</v>
      </c>
      <c r="D169" s="73">
        <v>13807</v>
      </c>
      <c r="E169" s="74" t="s">
        <v>1547</v>
      </c>
      <c r="F169" s="74">
        <v>0.24199999999999999</v>
      </c>
      <c r="G169" s="74">
        <v>4.0000000000000001E-3</v>
      </c>
      <c r="H169" s="74" t="s">
        <v>1550</v>
      </c>
      <c r="I169" s="74">
        <v>0.311</v>
      </c>
      <c r="J169" s="74">
        <v>1.2E-2</v>
      </c>
      <c r="K169" s="75" t="s">
        <v>1553</v>
      </c>
      <c r="L169" s="75">
        <v>0.24299999999999999</v>
      </c>
      <c r="M169" s="75" t="s">
        <v>18</v>
      </c>
      <c r="N169" s="75" t="s">
        <v>1556</v>
      </c>
      <c r="O169" s="75">
        <v>0.312</v>
      </c>
      <c r="P169" s="75" t="s">
        <v>18</v>
      </c>
    </row>
    <row r="170" spans="1:16" x14ac:dyDescent="0.55000000000000004">
      <c r="A170" s="93"/>
      <c r="B170" s="94"/>
      <c r="C170" s="73" t="s">
        <v>421</v>
      </c>
      <c r="D170" s="73">
        <v>10226</v>
      </c>
      <c r="E170" s="74" t="s">
        <v>1548</v>
      </c>
      <c r="F170" s="74">
        <v>0.14599999999999999</v>
      </c>
      <c r="G170" s="74">
        <v>5.1999999999999998E-2</v>
      </c>
      <c r="H170" s="74" t="s">
        <v>1551</v>
      </c>
      <c r="I170" s="74">
        <v>0.187</v>
      </c>
      <c r="J170" s="74">
        <v>5.0000000000000001E-3</v>
      </c>
      <c r="K170" s="75" t="s">
        <v>1554</v>
      </c>
      <c r="L170" s="75">
        <v>0.14699999999999999</v>
      </c>
      <c r="M170" s="75">
        <v>3.0000000000000001E-3</v>
      </c>
      <c r="N170" s="75" t="s">
        <v>1557</v>
      </c>
      <c r="O170" s="75">
        <v>0.188</v>
      </c>
      <c r="P170" s="75" t="s">
        <v>18</v>
      </c>
    </row>
    <row r="171" spans="1:16" x14ac:dyDescent="0.55000000000000004">
      <c r="A171" s="93" t="s">
        <v>297</v>
      </c>
      <c r="B171" s="94" t="s">
        <v>411</v>
      </c>
      <c r="C171" s="73" t="s">
        <v>265</v>
      </c>
      <c r="D171" s="73">
        <v>41873</v>
      </c>
      <c r="E171" s="74" t="s">
        <v>1329</v>
      </c>
      <c r="F171" s="74">
        <v>2.5000000000000001E-2</v>
      </c>
      <c r="G171" s="74" t="s">
        <v>18</v>
      </c>
      <c r="H171" s="74" t="s">
        <v>1326</v>
      </c>
      <c r="I171" s="74">
        <v>3.6999999999999998E-2</v>
      </c>
      <c r="J171" s="74" t="s">
        <v>18</v>
      </c>
      <c r="K171" s="75" t="s">
        <v>1332</v>
      </c>
      <c r="L171" s="75">
        <v>0.126</v>
      </c>
      <c r="M171" s="75" t="s">
        <v>18</v>
      </c>
      <c r="N171" s="75" t="s">
        <v>1335</v>
      </c>
      <c r="O171" s="75">
        <v>0.14299999999999999</v>
      </c>
      <c r="P171" s="75" t="s">
        <v>18</v>
      </c>
    </row>
    <row r="172" spans="1:16" x14ac:dyDescent="0.55000000000000004">
      <c r="A172" s="93"/>
      <c r="B172" s="94"/>
      <c r="C172" s="73" t="s">
        <v>416</v>
      </c>
      <c r="D172" s="73">
        <v>24004</v>
      </c>
      <c r="E172" s="74" t="s">
        <v>1330</v>
      </c>
      <c r="F172" s="74">
        <v>5.0000000000000001E-3</v>
      </c>
      <c r="G172" s="74" t="s">
        <v>18</v>
      </c>
      <c r="H172" s="74" t="s">
        <v>1327</v>
      </c>
      <c r="I172" s="74">
        <v>7.0000000000000001E-3</v>
      </c>
      <c r="J172" s="74" t="s">
        <v>18</v>
      </c>
      <c r="K172" s="75" t="s">
        <v>1333</v>
      </c>
      <c r="L172" s="75">
        <v>0.128</v>
      </c>
      <c r="M172" s="75" t="s">
        <v>18</v>
      </c>
      <c r="N172" s="75" t="s">
        <v>1336</v>
      </c>
      <c r="O172" s="75">
        <v>0.13500000000000001</v>
      </c>
      <c r="P172" s="75" t="s">
        <v>18</v>
      </c>
    </row>
    <row r="173" spans="1:16" x14ac:dyDescent="0.55000000000000004">
      <c r="A173" s="93"/>
      <c r="B173" s="94"/>
      <c r="C173" s="73" t="s">
        <v>421</v>
      </c>
      <c r="D173" s="73">
        <v>17869</v>
      </c>
      <c r="E173" s="74" t="s">
        <v>1331</v>
      </c>
      <c r="F173" s="74">
        <v>1.4999999999999999E-2</v>
      </c>
      <c r="G173" s="74" t="s">
        <v>18</v>
      </c>
      <c r="H173" s="74" t="s">
        <v>1328</v>
      </c>
      <c r="I173" s="74">
        <v>1.4999999999999999E-2</v>
      </c>
      <c r="J173" s="74" t="s">
        <v>18</v>
      </c>
      <c r="K173" s="75" t="s">
        <v>1334</v>
      </c>
      <c r="L173" s="75">
        <v>9.5000000000000001E-2</v>
      </c>
      <c r="M173" s="75" t="s">
        <v>18</v>
      </c>
      <c r="N173" s="75" t="s">
        <v>1337</v>
      </c>
      <c r="O173" s="75">
        <v>0.105</v>
      </c>
      <c r="P173" s="75" t="s">
        <v>18</v>
      </c>
    </row>
    <row r="174" spans="1:16" x14ac:dyDescent="0.55000000000000004">
      <c r="A174" s="93"/>
      <c r="B174" s="94" t="s">
        <v>426</v>
      </c>
      <c r="C174" s="73" t="s">
        <v>265</v>
      </c>
      <c r="D174" s="73">
        <v>41873</v>
      </c>
      <c r="E174" s="74" t="s">
        <v>429</v>
      </c>
      <c r="F174" s="74">
        <v>0.57099999999999995</v>
      </c>
      <c r="G174" s="74" t="s">
        <v>18</v>
      </c>
      <c r="H174" s="74" t="s">
        <v>1338</v>
      </c>
      <c r="I174" s="74">
        <v>0.55600000000000005</v>
      </c>
      <c r="J174" s="74" t="s">
        <v>18</v>
      </c>
      <c r="K174" s="75" t="s">
        <v>1341</v>
      </c>
      <c r="L174" s="75">
        <v>0.57099999999999995</v>
      </c>
      <c r="M174" s="75" t="s">
        <v>18</v>
      </c>
      <c r="N174" s="75" t="s">
        <v>1344</v>
      </c>
      <c r="O174" s="75">
        <v>0.55600000000000005</v>
      </c>
      <c r="P174" s="75" t="s">
        <v>18</v>
      </c>
    </row>
    <row r="175" spans="1:16" x14ac:dyDescent="0.55000000000000004">
      <c r="A175" s="93"/>
      <c r="B175" s="94"/>
      <c r="C175" s="73" t="s">
        <v>416</v>
      </c>
      <c r="D175" s="73">
        <v>24004</v>
      </c>
      <c r="E175" s="74" t="s">
        <v>433</v>
      </c>
      <c r="F175" s="74">
        <v>0.20499999999999999</v>
      </c>
      <c r="G175" s="74" t="s">
        <v>18</v>
      </c>
      <c r="H175" s="74" t="s">
        <v>1339</v>
      </c>
      <c r="I175" s="74">
        <v>0.20300000000000001</v>
      </c>
      <c r="J175" s="74" t="s">
        <v>18</v>
      </c>
      <c r="K175" s="75" t="s">
        <v>1342</v>
      </c>
      <c r="L175" s="75">
        <v>0.20699999999999999</v>
      </c>
      <c r="M175" s="75" t="s">
        <v>18</v>
      </c>
      <c r="N175" s="75" t="s">
        <v>1345</v>
      </c>
      <c r="O175" s="75">
        <v>0.20499999999999999</v>
      </c>
      <c r="P175" s="75" t="s">
        <v>18</v>
      </c>
    </row>
    <row r="176" spans="1:16" x14ac:dyDescent="0.55000000000000004">
      <c r="A176" s="93"/>
      <c r="B176" s="94"/>
      <c r="C176" s="73" t="s">
        <v>421</v>
      </c>
      <c r="D176" s="73">
        <v>17869</v>
      </c>
      <c r="E176" s="74" t="s">
        <v>805</v>
      </c>
      <c r="F176" s="74">
        <v>0.32400000000000001</v>
      </c>
      <c r="G176" s="74" t="s">
        <v>18</v>
      </c>
      <c r="H176" s="74" t="s">
        <v>1340</v>
      </c>
      <c r="I176" s="74">
        <v>0.32400000000000001</v>
      </c>
      <c r="J176" s="74" t="s">
        <v>18</v>
      </c>
      <c r="K176" s="75" t="s">
        <v>1343</v>
      </c>
      <c r="L176" s="75">
        <v>0.32700000000000001</v>
      </c>
      <c r="M176" s="75" t="s">
        <v>18</v>
      </c>
      <c r="N176" s="75" t="s">
        <v>1346</v>
      </c>
      <c r="O176" s="75">
        <v>0.32600000000000001</v>
      </c>
      <c r="P176" s="75" t="s">
        <v>18</v>
      </c>
    </row>
    <row r="177" spans="1:16" x14ac:dyDescent="0.55000000000000004">
      <c r="A177" s="93"/>
      <c r="B177" s="94" t="s">
        <v>438</v>
      </c>
      <c r="C177" s="73" t="s">
        <v>265</v>
      </c>
      <c r="D177" s="73">
        <v>41873</v>
      </c>
      <c r="E177" s="74" t="s">
        <v>1386</v>
      </c>
      <c r="F177" s="74">
        <v>0.69099999999999995</v>
      </c>
      <c r="G177" s="74" t="s">
        <v>18</v>
      </c>
      <c r="H177" s="74" t="s">
        <v>1383</v>
      </c>
      <c r="I177" s="74">
        <v>0.70299999999999996</v>
      </c>
      <c r="J177" s="74" t="s">
        <v>18</v>
      </c>
      <c r="K177" s="75" t="s">
        <v>1391</v>
      </c>
      <c r="L177" s="75">
        <v>0.69199999999999995</v>
      </c>
      <c r="M177" s="75" t="s">
        <v>18</v>
      </c>
      <c r="N177" s="75" t="s">
        <v>1388</v>
      </c>
      <c r="O177" s="75">
        <v>0.70399999999999996</v>
      </c>
      <c r="P177" s="75" t="s">
        <v>18</v>
      </c>
    </row>
    <row r="178" spans="1:16" x14ac:dyDescent="0.55000000000000004">
      <c r="A178" s="93"/>
      <c r="B178" s="94"/>
      <c r="C178" s="73" t="s">
        <v>416</v>
      </c>
      <c r="D178" s="73">
        <v>24004</v>
      </c>
      <c r="E178" s="74" t="s">
        <v>1387</v>
      </c>
      <c r="F178" s="74">
        <v>0.66</v>
      </c>
      <c r="G178" s="74" t="s">
        <v>18</v>
      </c>
      <c r="H178" s="74" t="s">
        <v>1384</v>
      </c>
      <c r="I178" s="74">
        <v>0.64900000000000002</v>
      </c>
      <c r="J178" s="74" t="s">
        <v>18</v>
      </c>
      <c r="K178" s="75" t="s">
        <v>1392</v>
      </c>
      <c r="L178" s="75">
        <v>0.66100000000000003</v>
      </c>
      <c r="M178" s="75" t="s">
        <v>18</v>
      </c>
      <c r="N178" s="75" t="s">
        <v>1389</v>
      </c>
      <c r="O178" s="75">
        <v>0.64900000000000002</v>
      </c>
      <c r="P178" s="75" t="s">
        <v>18</v>
      </c>
    </row>
    <row r="179" spans="1:16" x14ac:dyDescent="0.55000000000000004">
      <c r="A179" s="93"/>
      <c r="B179" s="94"/>
      <c r="C179" s="73" t="s">
        <v>421</v>
      </c>
      <c r="D179" s="73">
        <v>17869</v>
      </c>
      <c r="E179" s="74" t="s">
        <v>815</v>
      </c>
      <c r="F179" s="74">
        <v>0.628</v>
      </c>
      <c r="G179" s="74" t="s">
        <v>18</v>
      </c>
      <c r="H179" s="74" t="s">
        <v>1385</v>
      </c>
      <c r="I179" s="74">
        <v>0.61299999999999999</v>
      </c>
      <c r="J179" s="74" t="s">
        <v>18</v>
      </c>
      <c r="K179" s="75" t="s">
        <v>1393</v>
      </c>
      <c r="L179" s="75">
        <v>0.63200000000000001</v>
      </c>
      <c r="M179" s="75" t="s">
        <v>18</v>
      </c>
      <c r="N179" s="75" t="s">
        <v>1390</v>
      </c>
      <c r="O179" s="75">
        <v>0.61599999999999999</v>
      </c>
      <c r="P179" s="75" t="s">
        <v>18</v>
      </c>
    </row>
    <row r="180" spans="1:16" x14ac:dyDescent="0.55000000000000004">
      <c r="A180" s="93"/>
      <c r="B180" s="94" t="s">
        <v>451</v>
      </c>
      <c r="C180" s="73" t="s">
        <v>265</v>
      </c>
      <c r="D180" s="73">
        <v>41873</v>
      </c>
      <c r="E180" s="74" t="s">
        <v>1418</v>
      </c>
      <c r="F180" s="74">
        <v>0.83599999999999997</v>
      </c>
      <c r="G180" s="74" t="s">
        <v>18</v>
      </c>
      <c r="H180" s="74" t="s">
        <v>1421</v>
      </c>
      <c r="I180" s="74">
        <v>0.79600000000000004</v>
      </c>
      <c r="J180" s="74" t="s">
        <v>18</v>
      </c>
      <c r="K180" s="75" t="s">
        <v>1424</v>
      </c>
      <c r="L180" s="75">
        <v>0.83899999999999997</v>
      </c>
      <c r="M180" s="75" t="s">
        <v>18</v>
      </c>
      <c r="N180" s="75" t="s">
        <v>1427</v>
      </c>
      <c r="O180" s="75">
        <v>0.79900000000000004</v>
      </c>
      <c r="P180" s="75" t="s">
        <v>18</v>
      </c>
    </row>
    <row r="181" spans="1:16" x14ac:dyDescent="0.55000000000000004">
      <c r="A181" s="93"/>
      <c r="B181" s="94"/>
      <c r="C181" s="73" t="s">
        <v>416</v>
      </c>
      <c r="D181" s="73">
        <v>24004</v>
      </c>
      <c r="E181" s="74" t="s">
        <v>1419</v>
      </c>
      <c r="F181" s="74">
        <v>0.84299999999999997</v>
      </c>
      <c r="G181" s="74" t="s">
        <v>18</v>
      </c>
      <c r="H181" s="74" t="s">
        <v>1422</v>
      </c>
      <c r="I181" s="74">
        <v>0.79900000000000004</v>
      </c>
      <c r="J181" s="74" t="s">
        <v>18</v>
      </c>
      <c r="K181" s="75" t="s">
        <v>1425</v>
      </c>
      <c r="L181" s="75">
        <v>0.84499999999999997</v>
      </c>
      <c r="M181" s="75" t="s">
        <v>18</v>
      </c>
      <c r="N181" s="75" t="s">
        <v>1428</v>
      </c>
      <c r="O181" s="75">
        <v>0.80100000000000005</v>
      </c>
      <c r="P181" s="75" t="s">
        <v>18</v>
      </c>
    </row>
    <row r="182" spans="1:16" x14ac:dyDescent="0.55000000000000004">
      <c r="A182" s="93"/>
      <c r="B182" s="94"/>
      <c r="C182" s="73" t="s">
        <v>421</v>
      </c>
      <c r="D182" s="73">
        <v>17869</v>
      </c>
      <c r="E182" s="74" t="s">
        <v>1420</v>
      </c>
      <c r="F182" s="74">
        <v>0.71399999999999997</v>
      </c>
      <c r="G182" s="74" t="s">
        <v>18</v>
      </c>
      <c r="H182" s="74" t="s">
        <v>1423</v>
      </c>
      <c r="I182" s="74">
        <v>0.68700000000000006</v>
      </c>
      <c r="J182" s="74" t="s">
        <v>18</v>
      </c>
      <c r="K182" s="75" t="s">
        <v>1426</v>
      </c>
      <c r="L182" s="75">
        <v>0.72299999999999998</v>
      </c>
      <c r="M182" s="75" t="s">
        <v>18</v>
      </c>
      <c r="N182" s="75" t="s">
        <v>1429</v>
      </c>
      <c r="O182" s="75">
        <v>0.69199999999999995</v>
      </c>
      <c r="P182" s="75" t="s">
        <v>18</v>
      </c>
    </row>
    <row r="183" spans="1:16" x14ac:dyDescent="0.55000000000000004">
      <c r="A183" s="93"/>
      <c r="B183" s="94" t="s">
        <v>464</v>
      </c>
      <c r="C183" s="73" t="s">
        <v>265</v>
      </c>
      <c r="D183" s="73">
        <v>41873</v>
      </c>
      <c r="E183" s="74" t="s">
        <v>1454</v>
      </c>
      <c r="F183" s="74">
        <v>0.40200000000000002</v>
      </c>
      <c r="G183" s="74" t="s">
        <v>18</v>
      </c>
      <c r="H183" s="74" t="s">
        <v>1457</v>
      </c>
      <c r="I183" s="74">
        <v>0.40899999999999997</v>
      </c>
      <c r="J183" s="74" t="s">
        <v>18</v>
      </c>
      <c r="K183" s="75" t="s">
        <v>1460</v>
      </c>
      <c r="L183" s="75">
        <v>0.40799999999999997</v>
      </c>
      <c r="M183" s="75" t="s">
        <v>18</v>
      </c>
      <c r="N183" s="75" t="s">
        <v>1463</v>
      </c>
      <c r="O183" s="75">
        <v>0.41499999999999998</v>
      </c>
      <c r="P183" s="75" t="s">
        <v>18</v>
      </c>
    </row>
    <row r="184" spans="1:16" x14ac:dyDescent="0.55000000000000004">
      <c r="A184" s="93"/>
      <c r="B184" s="94"/>
      <c r="C184" s="73" t="s">
        <v>416</v>
      </c>
      <c r="D184" s="73">
        <v>24004</v>
      </c>
      <c r="E184" s="74" t="s">
        <v>1455</v>
      </c>
      <c r="F184" s="74">
        <v>0.379</v>
      </c>
      <c r="G184" s="74" t="s">
        <v>18</v>
      </c>
      <c r="H184" s="74" t="s">
        <v>1458</v>
      </c>
      <c r="I184" s="74">
        <v>0.38500000000000001</v>
      </c>
      <c r="J184" s="74" t="s">
        <v>18</v>
      </c>
      <c r="K184" s="75" t="s">
        <v>1461</v>
      </c>
      <c r="L184" s="75">
        <v>0.38500000000000001</v>
      </c>
      <c r="M184" s="75" t="s">
        <v>18</v>
      </c>
      <c r="N184" s="75" t="s">
        <v>1464</v>
      </c>
      <c r="O184" s="75">
        <v>0.39200000000000002</v>
      </c>
      <c r="P184" s="75" t="s">
        <v>18</v>
      </c>
    </row>
    <row r="185" spans="1:16" x14ac:dyDescent="0.55000000000000004">
      <c r="A185" s="93"/>
      <c r="B185" s="94"/>
      <c r="C185" s="73" t="s">
        <v>421</v>
      </c>
      <c r="D185" s="73">
        <v>17869</v>
      </c>
      <c r="E185" s="74" t="s">
        <v>1456</v>
      </c>
      <c r="F185" s="74">
        <v>0.35099999999999998</v>
      </c>
      <c r="G185" s="74" t="s">
        <v>18</v>
      </c>
      <c r="H185" s="74" t="s">
        <v>1459</v>
      </c>
      <c r="I185" s="74">
        <v>0.35599999999999998</v>
      </c>
      <c r="J185" s="74" t="s">
        <v>18</v>
      </c>
      <c r="K185" s="75" t="s">
        <v>1462</v>
      </c>
      <c r="L185" s="75">
        <v>0.35699999999999998</v>
      </c>
      <c r="M185" s="75" t="s">
        <v>18</v>
      </c>
      <c r="N185" s="75" t="s">
        <v>1465</v>
      </c>
      <c r="O185" s="75">
        <v>0.36099999999999999</v>
      </c>
      <c r="P185" s="75" t="s">
        <v>18</v>
      </c>
    </row>
    <row r="186" spans="1:16" x14ac:dyDescent="0.55000000000000004">
      <c r="A186" s="93"/>
      <c r="B186" s="94" t="s">
        <v>477</v>
      </c>
      <c r="C186" s="73" t="s">
        <v>265</v>
      </c>
      <c r="D186" s="73">
        <v>41873</v>
      </c>
      <c r="E186" s="74" t="s">
        <v>1489</v>
      </c>
      <c r="F186" s="74">
        <v>0.69599999999999995</v>
      </c>
      <c r="G186" s="74" t="s">
        <v>18</v>
      </c>
      <c r="H186" s="74" t="s">
        <v>1492</v>
      </c>
      <c r="I186" s="74">
        <v>0.67200000000000004</v>
      </c>
      <c r="J186" s="74" t="s">
        <v>18</v>
      </c>
      <c r="K186" s="75" t="s">
        <v>1495</v>
      </c>
      <c r="L186" s="75">
        <v>0.70799999999999996</v>
      </c>
      <c r="M186" s="75" t="s">
        <v>18</v>
      </c>
      <c r="N186" s="75" t="s">
        <v>1498</v>
      </c>
      <c r="O186" s="75">
        <v>0.68500000000000005</v>
      </c>
      <c r="P186" s="75" t="s">
        <v>18</v>
      </c>
    </row>
    <row r="187" spans="1:16" x14ac:dyDescent="0.55000000000000004">
      <c r="A187" s="93"/>
      <c r="B187" s="94"/>
      <c r="C187" s="73" t="s">
        <v>416</v>
      </c>
      <c r="D187" s="73">
        <v>24004</v>
      </c>
      <c r="E187" s="74" t="s">
        <v>1490</v>
      </c>
      <c r="F187" s="74">
        <v>0.34699999999999998</v>
      </c>
      <c r="G187" s="74" t="s">
        <v>18</v>
      </c>
      <c r="H187" s="74" t="s">
        <v>1493</v>
      </c>
      <c r="I187" s="74">
        <v>0.33900000000000002</v>
      </c>
      <c r="J187" s="74" t="s">
        <v>18</v>
      </c>
      <c r="K187" s="75" t="s">
        <v>1496</v>
      </c>
      <c r="L187" s="75">
        <v>0.37</v>
      </c>
      <c r="M187" s="75" t="s">
        <v>18</v>
      </c>
      <c r="N187" s="75" t="s">
        <v>1499</v>
      </c>
      <c r="O187" s="75">
        <v>0.36299999999999999</v>
      </c>
      <c r="P187" s="75" t="s">
        <v>18</v>
      </c>
    </row>
    <row r="188" spans="1:16" x14ac:dyDescent="0.55000000000000004">
      <c r="A188" s="93"/>
      <c r="B188" s="94"/>
      <c r="C188" s="73" t="s">
        <v>421</v>
      </c>
      <c r="D188" s="73">
        <v>17869</v>
      </c>
      <c r="E188" s="74" t="s">
        <v>1491</v>
      </c>
      <c r="F188" s="74">
        <v>0.41599999999999998</v>
      </c>
      <c r="G188" s="74" t="s">
        <v>18</v>
      </c>
      <c r="H188" s="74" t="s">
        <v>1494</v>
      </c>
      <c r="I188" s="74">
        <v>0.41199999999999998</v>
      </c>
      <c r="J188" s="74" t="s">
        <v>18</v>
      </c>
      <c r="K188" s="75" t="s">
        <v>1497</v>
      </c>
      <c r="L188" s="75">
        <v>0.45</v>
      </c>
      <c r="M188" s="75" t="s">
        <v>18</v>
      </c>
      <c r="N188" s="75" t="s">
        <v>1500</v>
      </c>
      <c r="O188" s="75">
        <v>0.44800000000000001</v>
      </c>
      <c r="P188" s="75" t="s">
        <v>18</v>
      </c>
    </row>
    <row r="189" spans="1:16" x14ac:dyDescent="0.55000000000000004">
      <c r="A189" s="93"/>
      <c r="B189" s="94" t="s">
        <v>490</v>
      </c>
      <c r="C189" s="73" t="s">
        <v>265</v>
      </c>
      <c r="D189" s="73">
        <v>33363</v>
      </c>
      <c r="E189" s="74" t="s">
        <v>1524</v>
      </c>
      <c r="F189" s="74">
        <v>0.245</v>
      </c>
      <c r="G189" s="74" t="s">
        <v>18</v>
      </c>
      <c r="H189" s="74" t="s">
        <v>1527</v>
      </c>
      <c r="I189" s="74">
        <v>0.38500000000000001</v>
      </c>
      <c r="J189" s="74" t="s">
        <v>18</v>
      </c>
      <c r="K189" s="75" t="s">
        <v>1529</v>
      </c>
      <c r="L189" s="75">
        <v>0.245</v>
      </c>
      <c r="M189" s="75" t="s">
        <v>18</v>
      </c>
      <c r="N189" s="75" t="s">
        <v>1527</v>
      </c>
      <c r="O189" s="75">
        <v>0.38500000000000001</v>
      </c>
      <c r="P189" s="75" t="s">
        <v>18</v>
      </c>
    </row>
    <row r="190" spans="1:16" x14ac:dyDescent="0.55000000000000004">
      <c r="A190" s="93"/>
      <c r="B190" s="94"/>
      <c r="C190" s="73" t="s">
        <v>416</v>
      </c>
      <c r="D190" s="73">
        <v>19137</v>
      </c>
      <c r="E190" s="74" t="s">
        <v>1525</v>
      </c>
      <c r="F190" s="74">
        <v>0.24399999999999999</v>
      </c>
      <c r="G190" s="74" t="s">
        <v>18</v>
      </c>
      <c r="H190" s="74" t="s">
        <v>1528</v>
      </c>
      <c r="I190" s="74">
        <v>0.372</v>
      </c>
      <c r="J190" s="74" t="s">
        <v>18</v>
      </c>
      <c r="K190" s="75" t="s">
        <v>1530</v>
      </c>
      <c r="L190" s="75">
        <v>0.24399999999999999</v>
      </c>
      <c r="M190" s="75" t="s">
        <v>18</v>
      </c>
      <c r="N190" s="75" t="s">
        <v>1532</v>
      </c>
      <c r="O190" s="75">
        <v>0.372</v>
      </c>
      <c r="P190" s="75" t="s">
        <v>18</v>
      </c>
    </row>
    <row r="191" spans="1:16" x14ac:dyDescent="0.55000000000000004">
      <c r="A191" s="93"/>
      <c r="B191" s="94"/>
      <c r="C191" s="73" t="s">
        <v>421</v>
      </c>
      <c r="D191" s="73">
        <v>14226</v>
      </c>
      <c r="E191" s="74" t="s">
        <v>1526</v>
      </c>
      <c r="F191" s="74">
        <v>0.223</v>
      </c>
      <c r="G191" s="74" t="s">
        <v>18</v>
      </c>
      <c r="H191" s="74" t="s">
        <v>869</v>
      </c>
      <c r="I191" s="74">
        <v>0.29499999999999998</v>
      </c>
      <c r="J191" s="74" t="s">
        <v>18</v>
      </c>
      <c r="K191" s="75" t="s">
        <v>1531</v>
      </c>
      <c r="L191" s="75">
        <v>0.224</v>
      </c>
      <c r="M191" s="75" t="s">
        <v>18</v>
      </c>
      <c r="N191" s="75" t="s">
        <v>1533</v>
      </c>
      <c r="O191" s="75">
        <v>0.29599999999999999</v>
      </c>
      <c r="P191" s="75" t="s">
        <v>18</v>
      </c>
    </row>
    <row r="192" spans="1:16" x14ac:dyDescent="0.55000000000000004">
      <c r="A192" s="93"/>
      <c r="B192" s="94" t="s">
        <v>503</v>
      </c>
      <c r="C192" s="73" t="s">
        <v>265</v>
      </c>
      <c r="D192" s="73">
        <v>24033</v>
      </c>
      <c r="E192" s="74" t="s">
        <v>1558</v>
      </c>
      <c r="F192" s="74">
        <v>0.26700000000000002</v>
      </c>
      <c r="G192" s="74" t="s">
        <v>18</v>
      </c>
      <c r="H192" s="74" t="s">
        <v>1561</v>
      </c>
      <c r="I192" s="74">
        <v>0.36399999999999999</v>
      </c>
      <c r="J192" s="74" t="s">
        <v>18</v>
      </c>
      <c r="K192" s="75" t="s">
        <v>1564</v>
      </c>
      <c r="L192" s="75">
        <v>0.26700000000000002</v>
      </c>
      <c r="M192" s="75" t="s">
        <v>18</v>
      </c>
      <c r="N192" s="75" t="s">
        <v>1567</v>
      </c>
      <c r="O192" s="75">
        <v>0.36399999999999999</v>
      </c>
      <c r="P192" s="75" t="s">
        <v>18</v>
      </c>
    </row>
    <row r="193" spans="1:16" x14ac:dyDescent="0.55000000000000004">
      <c r="A193" s="93"/>
      <c r="B193" s="94"/>
      <c r="C193" s="73" t="s">
        <v>416</v>
      </c>
      <c r="D193" s="73">
        <v>13807</v>
      </c>
      <c r="E193" s="74" t="s">
        <v>1559</v>
      </c>
      <c r="F193" s="74">
        <v>0.254</v>
      </c>
      <c r="G193" s="74" t="s">
        <v>18</v>
      </c>
      <c r="H193" s="74" t="s">
        <v>1562</v>
      </c>
      <c r="I193" s="74">
        <v>0.33</v>
      </c>
      <c r="J193" s="74" t="s">
        <v>18</v>
      </c>
      <c r="K193" s="75" t="s">
        <v>1565</v>
      </c>
      <c r="L193" s="75">
        <v>0.254</v>
      </c>
      <c r="M193" s="75" t="s">
        <v>18</v>
      </c>
      <c r="N193" s="75" t="s">
        <v>1562</v>
      </c>
      <c r="O193" s="75">
        <v>0.33</v>
      </c>
      <c r="P193" s="75" t="s">
        <v>18</v>
      </c>
    </row>
    <row r="194" spans="1:16" x14ac:dyDescent="0.55000000000000004">
      <c r="A194" s="93"/>
      <c r="B194" s="94"/>
      <c r="C194" s="73" t="s">
        <v>421</v>
      </c>
      <c r="D194" s="73">
        <v>10226</v>
      </c>
      <c r="E194" s="74" t="s">
        <v>1560</v>
      </c>
      <c r="F194" s="74">
        <v>0.153</v>
      </c>
      <c r="G194" s="74" t="s">
        <v>18</v>
      </c>
      <c r="H194" s="74" t="s">
        <v>1563</v>
      </c>
      <c r="I194" s="74">
        <v>0.19600000000000001</v>
      </c>
      <c r="J194" s="74" t="s">
        <v>18</v>
      </c>
      <c r="K194" s="75" t="s">
        <v>1566</v>
      </c>
      <c r="L194" s="75">
        <v>0.154</v>
      </c>
      <c r="M194" s="75" t="s">
        <v>18</v>
      </c>
      <c r="N194" s="75" t="s">
        <v>1568</v>
      </c>
      <c r="O194" s="75">
        <v>0.19600000000000001</v>
      </c>
      <c r="P194" s="75" t="s">
        <v>18</v>
      </c>
    </row>
  </sheetData>
  <mergeCells count="74">
    <mergeCell ref="E1:J1"/>
    <mergeCell ref="K1:P1"/>
    <mergeCell ref="A3:A26"/>
    <mergeCell ref="B3:B5"/>
    <mergeCell ref="B6:B8"/>
    <mergeCell ref="B9:B11"/>
    <mergeCell ref="B12:B14"/>
    <mergeCell ref="B15:B17"/>
    <mergeCell ref="B18:B20"/>
    <mergeCell ref="B21:B23"/>
    <mergeCell ref="B24:B26"/>
    <mergeCell ref="A27:A50"/>
    <mergeCell ref="B27:B29"/>
    <mergeCell ref="B30:B32"/>
    <mergeCell ref="B33:B35"/>
    <mergeCell ref="B36:B38"/>
    <mergeCell ref="B39:B41"/>
    <mergeCell ref="B42:B44"/>
    <mergeCell ref="B45:B47"/>
    <mergeCell ref="B48:B50"/>
    <mergeCell ref="A51:A74"/>
    <mergeCell ref="B51:B53"/>
    <mergeCell ref="B54:B56"/>
    <mergeCell ref="B57:B59"/>
    <mergeCell ref="B60:B62"/>
    <mergeCell ref="B63:B65"/>
    <mergeCell ref="B66:B68"/>
    <mergeCell ref="B69:B71"/>
    <mergeCell ref="B72:B74"/>
    <mergeCell ref="A75:A98"/>
    <mergeCell ref="B75:B77"/>
    <mergeCell ref="B78:B80"/>
    <mergeCell ref="B81:B83"/>
    <mergeCell ref="B84:B86"/>
    <mergeCell ref="B87:B89"/>
    <mergeCell ref="B90:B92"/>
    <mergeCell ref="B93:B95"/>
    <mergeCell ref="B96:B98"/>
    <mergeCell ref="A99:A122"/>
    <mergeCell ref="B99:B101"/>
    <mergeCell ref="B102:B104"/>
    <mergeCell ref="B105:B107"/>
    <mergeCell ref="B108:B110"/>
    <mergeCell ref="B111:B113"/>
    <mergeCell ref="B114:B116"/>
    <mergeCell ref="B117:B119"/>
    <mergeCell ref="B120:B122"/>
    <mergeCell ref="A123:A146"/>
    <mergeCell ref="B123:B125"/>
    <mergeCell ref="B126:B128"/>
    <mergeCell ref="B129:B131"/>
    <mergeCell ref="B132:B134"/>
    <mergeCell ref="B135:B137"/>
    <mergeCell ref="B138:B140"/>
    <mergeCell ref="B141:B143"/>
    <mergeCell ref="B144:B146"/>
    <mergeCell ref="A147:A170"/>
    <mergeCell ref="B147:B149"/>
    <mergeCell ref="B150:B152"/>
    <mergeCell ref="B153:B155"/>
    <mergeCell ref="B156:B158"/>
    <mergeCell ref="B159:B161"/>
    <mergeCell ref="B162:B164"/>
    <mergeCell ref="B165:B167"/>
    <mergeCell ref="B168:B170"/>
    <mergeCell ref="A171:A194"/>
    <mergeCell ref="B171:B173"/>
    <mergeCell ref="B174:B176"/>
    <mergeCell ref="B177:B179"/>
    <mergeCell ref="B180:B182"/>
    <mergeCell ref="B183:B185"/>
    <mergeCell ref="B186:B188"/>
    <mergeCell ref="B189:B191"/>
    <mergeCell ref="B192:B194"/>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EC60A-11F1-4076-9BCE-84F4AE52197F}">
  <dimension ref="A1:N80"/>
  <sheetViews>
    <sheetView zoomScale="53" workbookViewId="0">
      <selection activeCell="Q32" sqref="Q32"/>
    </sheetView>
  </sheetViews>
  <sheetFormatPr defaultRowHeight="14.4" x14ac:dyDescent="0.55000000000000004"/>
  <cols>
    <col min="1" max="2" width="17.41796875" customWidth="1"/>
    <col min="3" max="3" width="10.26171875" customWidth="1"/>
    <col min="4" max="4" width="8.83984375" customWidth="1"/>
    <col min="5" max="5" width="15.83984375" customWidth="1"/>
    <col min="6" max="6" width="18.26171875" bestFit="1" customWidth="1"/>
    <col min="7" max="7" width="10" customWidth="1"/>
    <col min="8" max="9" width="18.26171875" customWidth="1"/>
    <col min="10" max="10" width="18.26171875" bestFit="1" customWidth="1"/>
    <col min="11" max="11" width="8.68359375" bestFit="1" customWidth="1"/>
    <col min="12" max="12" width="18.26171875" bestFit="1" customWidth="1"/>
  </cols>
  <sheetData>
    <row r="1" spans="1:14" x14ac:dyDescent="0.55000000000000004">
      <c r="A1" s="131" t="s">
        <v>876</v>
      </c>
      <c r="B1" s="131" t="s">
        <v>877</v>
      </c>
      <c r="C1" s="131" t="s">
        <v>124</v>
      </c>
      <c r="D1" s="131" t="s">
        <v>878</v>
      </c>
      <c r="E1" s="119" t="s">
        <v>126</v>
      </c>
      <c r="F1" s="141"/>
      <c r="G1" s="141"/>
      <c r="H1" s="142"/>
      <c r="I1" s="119" t="s">
        <v>144</v>
      </c>
      <c r="J1" s="141"/>
      <c r="K1" s="141"/>
      <c r="L1" s="142"/>
      <c r="N1" s="3" t="s">
        <v>1581</v>
      </c>
    </row>
    <row r="2" spans="1:14" ht="14.7" thickBot="1" x14ac:dyDescent="0.6">
      <c r="A2" s="130"/>
      <c r="B2" s="130"/>
      <c r="C2" s="130"/>
      <c r="D2" s="130"/>
      <c r="E2" s="45" t="s">
        <v>879</v>
      </c>
      <c r="F2" s="45" t="s">
        <v>880</v>
      </c>
      <c r="G2" s="45" t="s">
        <v>881</v>
      </c>
      <c r="H2" s="45" t="s">
        <v>882</v>
      </c>
      <c r="I2" s="45" t="s">
        <v>879</v>
      </c>
      <c r="J2" s="45" t="s">
        <v>880</v>
      </c>
      <c r="K2" s="45" t="s">
        <v>881</v>
      </c>
      <c r="L2" s="45" t="s">
        <v>882</v>
      </c>
    </row>
    <row r="3" spans="1:14" x14ac:dyDescent="0.55000000000000004">
      <c r="A3" s="128" t="s">
        <v>883</v>
      </c>
      <c r="B3" s="128" t="s">
        <v>260</v>
      </c>
      <c r="C3" s="140" t="s">
        <v>265</v>
      </c>
      <c r="D3" s="42" t="s">
        <v>884</v>
      </c>
      <c r="E3" s="42" t="s">
        <v>885</v>
      </c>
      <c r="F3" s="42" t="s">
        <v>362</v>
      </c>
      <c r="G3" s="42" t="s">
        <v>362</v>
      </c>
      <c r="H3" s="137" t="s">
        <v>886</v>
      </c>
      <c r="I3" s="82" t="s">
        <v>887</v>
      </c>
      <c r="J3" s="42" t="s">
        <v>362</v>
      </c>
      <c r="K3" s="42" t="s">
        <v>362</v>
      </c>
      <c r="L3" s="137" t="s">
        <v>888</v>
      </c>
    </row>
    <row r="4" spans="1:14" x14ac:dyDescent="0.55000000000000004">
      <c r="A4" s="129"/>
      <c r="B4" s="129"/>
      <c r="C4" s="138"/>
      <c r="D4" s="30" t="s">
        <v>889</v>
      </c>
      <c r="E4" s="30" t="s">
        <v>890</v>
      </c>
      <c r="F4" s="66" t="s">
        <v>891</v>
      </c>
      <c r="G4" s="40">
        <v>1.08518E-2</v>
      </c>
      <c r="H4" s="138"/>
      <c r="I4" s="30" t="s">
        <v>892</v>
      </c>
      <c r="J4" s="66" t="s">
        <v>893</v>
      </c>
      <c r="K4" s="40">
        <v>3.653203E-2</v>
      </c>
      <c r="L4" s="138"/>
    </row>
    <row r="5" spans="1:14" ht="14.7" thickBot="1" x14ac:dyDescent="0.6">
      <c r="A5" s="129"/>
      <c r="B5" s="129"/>
      <c r="C5" s="139"/>
      <c r="D5" s="46" t="s">
        <v>894</v>
      </c>
      <c r="E5" s="46" t="s">
        <v>895</v>
      </c>
      <c r="F5" s="46" t="s">
        <v>896</v>
      </c>
      <c r="G5" s="48">
        <v>6.8521869999999997E-5</v>
      </c>
      <c r="H5" s="139"/>
      <c r="I5" s="46" t="s">
        <v>897</v>
      </c>
      <c r="J5" s="46" t="s">
        <v>898</v>
      </c>
      <c r="K5" s="48">
        <v>5.5130889999999997E-5</v>
      </c>
      <c r="L5" s="139"/>
    </row>
    <row r="6" spans="1:14" x14ac:dyDescent="0.55000000000000004">
      <c r="A6" s="129"/>
      <c r="B6" s="129"/>
      <c r="C6" s="140" t="s">
        <v>153</v>
      </c>
      <c r="D6" s="42" t="s">
        <v>884</v>
      </c>
      <c r="E6" s="82" t="s">
        <v>899</v>
      </c>
      <c r="F6" s="42" t="s">
        <v>362</v>
      </c>
      <c r="G6" s="42" t="s">
        <v>362</v>
      </c>
      <c r="H6" s="137" t="s">
        <v>900</v>
      </c>
      <c r="I6" s="42" t="s">
        <v>901</v>
      </c>
      <c r="J6" s="42" t="s">
        <v>362</v>
      </c>
      <c r="K6" s="42" t="s">
        <v>362</v>
      </c>
      <c r="L6" s="140" t="s">
        <v>902</v>
      </c>
    </row>
    <row r="7" spans="1:14" x14ac:dyDescent="0.55000000000000004">
      <c r="A7" s="129"/>
      <c r="B7" s="129"/>
      <c r="C7" s="138"/>
      <c r="D7" s="30" t="s">
        <v>889</v>
      </c>
      <c r="E7" s="30" t="s">
        <v>903</v>
      </c>
      <c r="F7" s="30" t="s">
        <v>904</v>
      </c>
      <c r="G7" s="40">
        <v>6.7385140000000001E-3</v>
      </c>
      <c r="H7" s="138"/>
      <c r="I7" s="30" t="s">
        <v>905</v>
      </c>
      <c r="J7" s="30" t="s">
        <v>906</v>
      </c>
      <c r="K7" s="40">
        <v>1.7827559999999999E-3</v>
      </c>
      <c r="L7" s="138"/>
    </row>
    <row r="8" spans="1:14" ht="14.7" thickBot="1" x14ac:dyDescent="0.6">
      <c r="A8" s="129"/>
      <c r="B8" s="129"/>
      <c r="C8" s="139"/>
      <c r="D8" s="46" t="s">
        <v>894</v>
      </c>
      <c r="E8" s="67" t="s">
        <v>907</v>
      </c>
      <c r="F8" s="46" t="s">
        <v>908</v>
      </c>
      <c r="G8" s="48">
        <v>4.0284820000000004E-6</v>
      </c>
      <c r="H8" s="139"/>
      <c r="I8" s="46" t="s">
        <v>909</v>
      </c>
      <c r="J8" s="46" t="s">
        <v>910</v>
      </c>
      <c r="K8" s="48">
        <v>3.6164229999999998E-7</v>
      </c>
      <c r="L8" s="139"/>
    </row>
    <row r="9" spans="1:14" x14ac:dyDescent="0.55000000000000004">
      <c r="A9" s="129"/>
      <c r="B9" s="129"/>
      <c r="C9" s="140" t="s">
        <v>170</v>
      </c>
      <c r="D9" s="42" t="s">
        <v>884</v>
      </c>
      <c r="E9" s="42" t="s">
        <v>911</v>
      </c>
      <c r="F9" s="42" t="s">
        <v>362</v>
      </c>
      <c r="G9" s="42" t="s">
        <v>362</v>
      </c>
      <c r="H9" s="140" t="s">
        <v>912</v>
      </c>
      <c r="I9" s="42" t="s">
        <v>913</v>
      </c>
      <c r="J9" s="42" t="s">
        <v>362</v>
      </c>
      <c r="K9" s="42" t="s">
        <v>362</v>
      </c>
      <c r="L9" s="140" t="s">
        <v>914</v>
      </c>
    </row>
    <row r="10" spans="1:14" x14ac:dyDescent="0.55000000000000004">
      <c r="A10" s="129"/>
      <c r="B10" s="129"/>
      <c r="C10" s="138"/>
      <c r="D10" s="30" t="s">
        <v>889</v>
      </c>
      <c r="E10" s="30" t="s">
        <v>915</v>
      </c>
      <c r="F10" s="30" t="s">
        <v>916</v>
      </c>
      <c r="G10" s="40">
        <v>8.1982900000000004E-3</v>
      </c>
      <c r="H10" s="138"/>
      <c r="I10" s="30" t="s">
        <v>917</v>
      </c>
      <c r="J10" s="30" t="s">
        <v>918</v>
      </c>
      <c r="K10" s="40">
        <v>1.9069740000000002E-2</v>
      </c>
      <c r="L10" s="138"/>
    </row>
    <row r="11" spans="1:14" ht="14.7" thickBot="1" x14ac:dyDescent="0.6">
      <c r="A11" s="129"/>
      <c r="B11" s="130"/>
      <c r="C11" s="139"/>
      <c r="D11" s="46" t="s">
        <v>894</v>
      </c>
      <c r="E11" s="46" t="s">
        <v>919</v>
      </c>
      <c r="F11" s="46" t="s">
        <v>920</v>
      </c>
      <c r="G11" s="48">
        <v>3.2865089999999997E-5</v>
      </c>
      <c r="H11" s="139"/>
      <c r="I11" s="46" t="s">
        <v>921</v>
      </c>
      <c r="J11" s="67" t="s">
        <v>922</v>
      </c>
      <c r="K11" s="48">
        <v>7.5328339999999998E-6</v>
      </c>
      <c r="L11" s="139"/>
    </row>
    <row r="12" spans="1:14" x14ac:dyDescent="0.55000000000000004">
      <c r="A12" s="129"/>
      <c r="B12" s="128" t="s">
        <v>261</v>
      </c>
      <c r="C12" s="140" t="s">
        <v>265</v>
      </c>
      <c r="D12" s="42" t="s">
        <v>884</v>
      </c>
      <c r="E12" s="42" t="s">
        <v>885</v>
      </c>
      <c r="F12" s="42" t="s">
        <v>362</v>
      </c>
      <c r="G12" s="42" t="s">
        <v>362</v>
      </c>
      <c r="H12" s="137" t="s">
        <v>923</v>
      </c>
      <c r="I12" s="82" t="s">
        <v>887</v>
      </c>
      <c r="J12" s="42" t="s">
        <v>362</v>
      </c>
      <c r="K12" s="42" t="s">
        <v>362</v>
      </c>
      <c r="L12" s="140" t="s">
        <v>924</v>
      </c>
    </row>
    <row r="13" spans="1:14" x14ac:dyDescent="0.55000000000000004">
      <c r="A13" s="129"/>
      <c r="B13" s="129"/>
      <c r="C13" s="138"/>
      <c r="D13" s="30" t="s">
        <v>889</v>
      </c>
      <c r="E13" s="30" t="s">
        <v>890</v>
      </c>
      <c r="F13" s="30" t="s">
        <v>925</v>
      </c>
      <c r="G13" s="40">
        <v>7.7370859999999998E-3</v>
      </c>
      <c r="H13" s="138"/>
      <c r="I13" s="30" t="s">
        <v>892</v>
      </c>
      <c r="J13" s="30" t="s">
        <v>926</v>
      </c>
      <c r="K13" s="40">
        <v>3.6912840000000002E-2</v>
      </c>
      <c r="L13" s="138"/>
    </row>
    <row r="14" spans="1:14" ht="14.7" thickBot="1" x14ac:dyDescent="0.6">
      <c r="A14" s="129"/>
      <c r="B14" s="129"/>
      <c r="C14" s="139"/>
      <c r="D14" s="46" t="s">
        <v>894</v>
      </c>
      <c r="E14" s="46" t="s">
        <v>895</v>
      </c>
      <c r="F14" s="67" t="s">
        <v>927</v>
      </c>
      <c r="G14" s="48">
        <v>3.8756769999999999E-5</v>
      </c>
      <c r="H14" s="139"/>
      <c r="I14" s="46" t="s">
        <v>897</v>
      </c>
      <c r="J14" s="46" t="s">
        <v>928</v>
      </c>
      <c r="K14" s="48">
        <v>5.6471899999999997E-5</v>
      </c>
      <c r="L14" s="139"/>
    </row>
    <row r="15" spans="1:14" x14ac:dyDescent="0.55000000000000004">
      <c r="A15" s="129"/>
      <c r="B15" s="129"/>
      <c r="C15" s="140" t="s">
        <v>153</v>
      </c>
      <c r="D15" s="42" t="s">
        <v>884</v>
      </c>
      <c r="E15" s="82" t="s">
        <v>899</v>
      </c>
      <c r="F15" s="42" t="s">
        <v>362</v>
      </c>
      <c r="G15" s="42" t="s">
        <v>362</v>
      </c>
      <c r="H15" s="137" t="s">
        <v>929</v>
      </c>
      <c r="I15" s="42" t="s">
        <v>901</v>
      </c>
      <c r="J15" s="42" t="s">
        <v>362</v>
      </c>
      <c r="K15" s="42" t="s">
        <v>362</v>
      </c>
      <c r="L15" s="137" t="s">
        <v>930</v>
      </c>
    </row>
    <row r="16" spans="1:14" x14ac:dyDescent="0.55000000000000004">
      <c r="A16" s="129"/>
      <c r="B16" s="129"/>
      <c r="C16" s="138"/>
      <c r="D16" s="30" t="s">
        <v>889</v>
      </c>
      <c r="E16" s="30" t="s">
        <v>903</v>
      </c>
      <c r="F16" s="66" t="s">
        <v>931</v>
      </c>
      <c r="G16" s="40">
        <v>5.3161129999999999E-3</v>
      </c>
      <c r="H16" s="138"/>
      <c r="I16" s="30" t="s">
        <v>905</v>
      </c>
      <c r="J16" s="30" t="s">
        <v>932</v>
      </c>
      <c r="K16" s="40">
        <v>2.0226659999999998E-3</v>
      </c>
      <c r="L16" s="138"/>
    </row>
    <row r="17" spans="1:12" ht="14.7" thickBot="1" x14ac:dyDescent="0.6">
      <c r="A17" s="129"/>
      <c r="B17" s="129"/>
      <c r="C17" s="139"/>
      <c r="D17" s="46" t="s">
        <v>894</v>
      </c>
      <c r="E17" s="67" t="s">
        <v>907</v>
      </c>
      <c r="F17" s="46" t="s">
        <v>933</v>
      </c>
      <c r="G17" s="48">
        <v>2.2128350000000001E-6</v>
      </c>
      <c r="H17" s="139"/>
      <c r="I17" s="46" t="s">
        <v>909</v>
      </c>
      <c r="J17" s="46" t="s">
        <v>934</v>
      </c>
      <c r="K17" s="48">
        <v>5.8332330000000002E-7</v>
      </c>
      <c r="L17" s="139"/>
    </row>
    <row r="18" spans="1:12" x14ac:dyDescent="0.55000000000000004">
      <c r="A18" s="129"/>
      <c r="B18" s="129"/>
      <c r="C18" s="140" t="s">
        <v>170</v>
      </c>
      <c r="D18" s="42" t="s">
        <v>884</v>
      </c>
      <c r="E18" s="42" t="s">
        <v>911</v>
      </c>
      <c r="F18" s="42" t="s">
        <v>362</v>
      </c>
      <c r="G18" s="42" t="s">
        <v>362</v>
      </c>
      <c r="H18" s="140" t="s">
        <v>935</v>
      </c>
      <c r="I18" s="42" t="s">
        <v>913</v>
      </c>
      <c r="J18" s="42" t="s">
        <v>362</v>
      </c>
      <c r="K18" s="42" t="s">
        <v>362</v>
      </c>
      <c r="L18" s="140" t="s">
        <v>936</v>
      </c>
    </row>
    <row r="19" spans="1:12" x14ac:dyDescent="0.55000000000000004">
      <c r="A19" s="129"/>
      <c r="B19" s="129"/>
      <c r="C19" s="138"/>
      <c r="D19" s="30" t="s">
        <v>889</v>
      </c>
      <c r="E19" s="30" t="s">
        <v>915</v>
      </c>
      <c r="F19" s="30" t="s">
        <v>937</v>
      </c>
      <c r="G19" s="40">
        <v>6.2885399999999996E-3</v>
      </c>
      <c r="H19" s="138"/>
      <c r="I19" s="30" t="s">
        <v>917</v>
      </c>
      <c r="J19" s="30" t="s">
        <v>938</v>
      </c>
      <c r="K19" s="40">
        <v>1.7560949999999999E-2</v>
      </c>
      <c r="L19" s="138"/>
    </row>
    <row r="20" spans="1:12" ht="14.7" thickBot="1" x14ac:dyDescent="0.6">
      <c r="A20" s="129"/>
      <c r="B20" s="130"/>
      <c r="C20" s="139"/>
      <c r="D20" s="46" t="s">
        <v>894</v>
      </c>
      <c r="E20" s="46" t="s">
        <v>919</v>
      </c>
      <c r="F20" s="46" t="s">
        <v>939</v>
      </c>
      <c r="G20" s="48">
        <v>2.3026610000000001E-5</v>
      </c>
      <c r="H20" s="139"/>
      <c r="I20" s="46" t="s">
        <v>921</v>
      </c>
      <c r="J20" s="46" t="s">
        <v>940</v>
      </c>
      <c r="K20" s="48">
        <v>6.8363010000000003E-6</v>
      </c>
      <c r="L20" s="139"/>
    </row>
    <row r="21" spans="1:12" x14ac:dyDescent="0.55000000000000004">
      <c r="A21" s="129"/>
      <c r="B21" s="128" t="s">
        <v>262</v>
      </c>
      <c r="C21" s="140" t="s">
        <v>265</v>
      </c>
      <c r="D21" s="42" t="s">
        <v>884</v>
      </c>
      <c r="E21" s="42" t="s">
        <v>885</v>
      </c>
      <c r="F21" s="42" t="s">
        <v>362</v>
      </c>
      <c r="G21" s="42" t="s">
        <v>362</v>
      </c>
      <c r="H21" s="140" t="s">
        <v>941</v>
      </c>
      <c r="I21" s="82" t="s">
        <v>887</v>
      </c>
      <c r="J21" s="42" t="s">
        <v>362</v>
      </c>
      <c r="K21" s="42" t="s">
        <v>362</v>
      </c>
      <c r="L21" s="140" t="s">
        <v>942</v>
      </c>
    </row>
    <row r="22" spans="1:12" x14ac:dyDescent="0.55000000000000004">
      <c r="A22" s="129"/>
      <c r="B22" s="129"/>
      <c r="C22" s="138"/>
      <c r="D22" s="30" t="s">
        <v>889</v>
      </c>
      <c r="E22" s="30" t="s">
        <v>890</v>
      </c>
      <c r="F22" s="30" t="s">
        <v>943</v>
      </c>
      <c r="G22" s="40">
        <v>2.8450099999999999E-2</v>
      </c>
      <c r="H22" s="138"/>
      <c r="I22" s="30" t="s">
        <v>892</v>
      </c>
      <c r="J22" s="30" t="s">
        <v>944</v>
      </c>
      <c r="K22" s="40">
        <v>6.8681480000000003E-2</v>
      </c>
      <c r="L22" s="138"/>
    </row>
    <row r="23" spans="1:12" ht="14.7" thickBot="1" x14ac:dyDescent="0.6">
      <c r="A23" s="129"/>
      <c r="B23" s="129"/>
      <c r="C23" s="139"/>
      <c r="D23" s="46" t="s">
        <v>894</v>
      </c>
      <c r="E23" s="46" t="s">
        <v>895</v>
      </c>
      <c r="F23" s="46" t="s">
        <v>945</v>
      </c>
      <c r="G23" s="48">
        <v>1.6008540000000001E-3</v>
      </c>
      <c r="H23" s="139"/>
      <c r="I23" s="46" t="s">
        <v>897</v>
      </c>
      <c r="J23" s="46" t="s">
        <v>946</v>
      </c>
      <c r="K23" s="48">
        <v>7.0254859999999998E-4</v>
      </c>
      <c r="L23" s="139"/>
    </row>
    <row r="24" spans="1:12" x14ac:dyDescent="0.55000000000000004">
      <c r="A24" s="129"/>
      <c r="B24" s="129"/>
      <c r="C24" s="140" t="s">
        <v>153</v>
      </c>
      <c r="D24" s="42" t="s">
        <v>884</v>
      </c>
      <c r="E24" s="82" t="s">
        <v>899</v>
      </c>
      <c r="F24" s="42" t="s">
        <v>362</v>
      </c>
      <c r="G24" s="42" t="s">
        <v>362</v>
      </c>
      <c r="H24" s="137" t="s">
        <v>947</v>
      </c>
      <c r="I24" s="42" t="s">
        <v>901</v>
      </c>
      <c r="J24" s="42" t="s">
        <v>362</v>
      </c>
      <c r="K24" s="42" t="s">
        <v>362</v>
      </c>
      <c r="L24" s="140" t="s">
        <v>948</v>
      </c>
    </row>
    <row r="25" spans="1:12" x14ac:dyDescent="0.55000000000000004">
      <c r="A25" s="129"/>
      <c r="B25" s="129"/>
      <c r="C25" s="138"/>
      <c r="D25" s="30" t="s">
        <v>889</v>
      </c>
      <c r="E25" s="30" t="s">
        <v>903</v>
      </c>
      <c r="F25" s="66" t="s">
        <v>949</v>
      </c>
      <c r="G25" s="40">
        <v>3.3503930000000001E-2</v>
      </c>
      <c r="H25" s="138"/>
      <c r="I25" s="30" t="s">
        <v>905</v>
      </c>
      <c r="J25" s="30" t="s">
        <v>950</v>
      </c>
      <c r="K25" s="40">
        <v>1.294175E-2</v>
      </c>
      <c r="L25" s="138"/>
    </row>
    <row r="26" spans="1:12" ht="14.7" thickBot="1" x14ac:dyDescent="0.6">
      <c r="A26" s="129"/>
      <c r="B26" s="129"/>
      <c r="C26" s="139"/>
      <c r="D26" s="46" t="s">
        <v>894</v>
      </c>
      <c r="E26" s="67" t="s">
        <v>907</v>
      </c>
      <c r="F26" s="46" t="s">
        <v>951</v>
      </c>
      <c r="G26" s="48">
        <v>5.000712E-4</v>
      </c>
      <c r="H26" s="139"/>
      <c r="I26" s="46" t="s">
        <v>909</v>
      </c>
      <c r="J26" s="46" t="s">
        <v>952</v>
      </c>
      <c r="K26" s="48">
        <v>8.9068969999999995E-5</v>
      </c>
      <c r="L26" s="139"/>
    </row>
    <row r="27" spans="1:12" x14ac:dyDescent="0.55000000000000004">
      <c r="A27" s="129"/>
      <c r="B27" s="129"/>
      <c r="C27" s="140" t="s">
        <v>170</v>
      </c>
      <c r="D27" s="42" t="s">
        <v>884</v>
      </c>
      <c r="E27" s="42" t="s">
        <v>911</v>
      </c>
      <c r="F27" s="42" t="s">
        <v>362</v>
      </c>
      <c r="G27" s="42" t="s">
        <v>362</v>
      </c>
      <c r="H27" s="140" t="s">
        <v>953</v>
      </c>
      <c r="I27" s="42" t="s">
        <v>913</v>
      </c>
      <c r="J27" s="42" t="s">
        <v>362</v>
      </c>
      <c r="K27" s="42" t="s">
        <v>362</v>
      </c>
      <c r="L27" s="140" t="s">
        <v>954</v>
      </c>
    </row>
    <row r="28" spans="1:12" x14ac:dyDescent="0.55000000000000004">
      <c r="A28" s="129"/>
      <c r="B28" s="129"/>
      <c r="C28" s="138"/>
      <c r="D28" s="30" t="s">
        <v>889</v>
      </c>
      <c r="E28" s="30" t="s">
        <v>915</v>
      </c>
      <c r="F28" s="30" t="s">
        <v>955</v>
      </c>
      <c r="G28" s="40">
        <v>3.3107299999999999E-2</v>
      </c>
      <c r="H28" s="138"/>
      <c r="I28" s="30" t="s">
        <v>917</v>
      </c>
      <c r="J28" s="30" t="s">
        <v>956</v>
      </c>
      <c r="K28" s="40">
        <v>8.0805399999999999E-2</v>
      </c>
      <c r="L28" s="138"/>
    </row>
    <row r="29" spans="1:12" ht="14.7" thickBot="1" x14ac:dyDescent="0.6">
      <c r="A29" s="130"/>
      <c r="B29" s="130"/>
      <c r="C29" s="139"/>
      <c r="D29" s="46" t="s">
        <v>894</v>
      </c>
      <c r="E29" s="46" t="s">
        <v>919</v>
      </c>
      <c r="F29" s="46" t="s">
        <v>957</v>
      </c>
      <c r="G29" s="48">
        <v>2.0442699999999999E-3</v>
      </c>
      <c r="H29" s="139"/>
      <c r="I29" s="46" t="s">
        <v>921</v>
      </c>
      <c r="J29" s="46" t="s">
        <v>958</v>
      </c>
      <c r="K29" s="48">
        <v>2.0349790000000001E-3</v>
      </c>
      <c r="L29" s="139"/>
    </row>
    <row r="30" spans="1:12" x14ac:dyDescent="0.55000000000000004">
      <c r="A30" s="128" t="s">
        <v>959</v>
      </c>
      <c r="B30" s="128" t="s">
        <v>260</v>
      </c>
      <c r="C30" s="140" t="s">
        <v>265</v>
      </c>
      <c r="D30" s="42" t="s">
        <v>884</v>
      </c>
      <c r="E30" s="42" t="s">
        <v>960</v>
      </c>
      <c r="F30" s="42" t="s">
        <v>362</v>
      </c>
      <c r="G30" s="42" t="s">
        <v>362</v>
      </c>
      <c r="H30" s="137" t="s">
        <v>961</v>
      </c>
      <c r="I30" s="42" t="s">
        <v>962</v>
      </c>
      <c r="J30" s="42" t="s">
        <v>362</v>
      </c>
      <c r="K30" s="42" t="s">
        <v>362</v>
      </c>
      <c r="L30" s="140" t="s">
        <v>963</v>
      </c>
    </row>
    <row r="31" spans="1:12" x14ac:dyDescent="0.55000000000000004">
      <c r="A31" s="129"/>
      <c r="B31" s="129"/>
      <c r="C31" s="138"/>
      <c r="D31" s="30" t="s">
        <v>889</v>
      </c>
      <c r="E31" s="30" t="s">
        <v>964</v>
      </c>
      <c r="F31" s="30" t="s">
        <v>965</v>
      </c>
      <c r="G31" s="40">
        <v>1.221885E-3</v>
      </c>
      <c r="H31" s="138"/>
      <c r="I31" s="30" t="s">
        <v>966</v>
      </c>
      <c r="J31" s="30" t="s">
        <v>967</v>
      </c>
      <c r="K31" s="40">
        <v>1.2285469999999999E-7</v>
      </c>
      <c r="L31" s="138"/>
    </row>
    <row r="32" spans="1:12" ht="14.7" thickBot="1" x14ac:dyDescent="0.6">
      <c r="A32" s="129"/>
      <c r="B32" s="129"/>
      <c r="C32" s="139"/>
      <c r="D32" s="46" t="s">
        <v>894</v>
      </c>
      <c r="E32" s="46" t="s">
        <v>968</v>
      </c>
      <c r="F32" s="46" t="s">
        <v>969</v>
      </c>
      <c r="G32" s="48" t="s">
        <v>247</v>
      </c>
      <c r="H32" s="139"/>
      <c r="I32" s="46" t="s">
        <v>970</v>
      </c>
      <c r="J32" s="46" t="s">
        <v>971</v>
      </c>
      <c r="K32" s="48" t="s">
        <v>247</v>
      </c>
      <c r="L32" s="139"/>
    </row>
    <row r="33" spans="1:12" x14ac:dyDescent="0.55000000000000004">
      <c r="A33" s="129"/>
      <c r="B33" s="129"/>
      <c r="C33" s="140" t="s">
        <v>153</v>
      </c>
      <c r="D33" s="42" t="s">
        <v>884</v>
      </c>
      <c r="E33" s="42" t="s">
        <v>972</v>
      </c>
      <c r="F33" s="42" t="s">
        <v>362</v>
      </c>
      <c r="G33" s="42" t="s">
        <v>362</v>
      </c>
      <c r="H33" s="140" t="s">
        <v>973</v>
      </c>
      <c r="I33" s="42" t="s">
        <v>974</v>
      </c>
      <c r="J33" s="42" t="s">
        <v>362</v>
      </c>
      <c r="K33" s="42" t="s">
        <v>362</v>
      </c>
      <c r="L33" s="140" t="s">
        <v>975</v>
      </c>
    </row>
    <row r="34" spans="1:12" x14ac:dyDescent="0.55000000000000004">
      <c r="A34" s="129"/>
      <c r="B34" s="129"/>
      <c r="C34" s="138"/>
      <c r="D34" s="30" t="s">
        <v>889</v>
      </c>
      <c r="E34" s="30" t="s">
        <v>976</v>
      </c>
      <c r="F34" s="30" t="s">
        <v>977</v>
      </c>
      <c r="G34" s="40">
        <v>3.2935650000000002E-6</v>
      </c>
      <c r="H34" s="138"/>
      <c r="I34" s="30" t="s">
        <v>978</v>
      </c>
      <c r="J34" s="30" t="s">
        <v>979</v>
      </c>
      <c r="K34" s="40">
        <v>3.3433219999999998E-9</v>
      </c>
      <c r="L34" s="138"/>
    </row>
    <row r="35" spans="1:12" ht="14.7" thickBot="1" x14ac:dyDescent="0.6">
      <c r="A35" s="129"/>
      <c r="B35" s="129"/>
      <c r="C35" s="139"/>
      <c r="D35" s="46" t="s">
        <v>894</v>
      </c>
      <c r="E35" s="46" t="s">
        <v>980</v>
      </c>
      <c r="F35" s="46" t="s">
        <v>981</v>
      </c>
      <c r="G35" s="48" t="s">
        <v>247</v>
      </c>
      <c r="H35" s="139"/>
      <c r="I35" s="46" t="s">
        <v>982</v>
      </c>
      <c r="J35" s="46" t="s">
        <v>983</v>
      </c>
      <c r="K35" s="48" t="s">
        <v>247</v>
      </c>
      <c r="L35" s="139"/>
    </row>
    <row r="36" spans="1:12" x14ac:dyDescent="0.55000000000000004">
      <c r="A36" s="129"/>
      <c r="B36" s="129"/>
      <c r="C36" s="140" t="s">
        <v>170</v>
      </c>
      <c r="D36" s="42" t="s">
        <v>884</v>
      </c>
      <c r="E36" s="42" t="s">
        <v>984</v>
      </c>
      <c r="F36" s="42" t="s">
        <v>362</v>
      </c>
      <c r="G36" s="42" t="s">
        <v>362</v>
      </c>
      <c r="H36" s="140" t="s">
        <v>985</v>
      </c>
      <c r="I36" s="42" t="s">
        <v>986</v>
      </c>
      <c r="J36" s="42" t="s">
        <v>362</v>
      </c>
      <c r="K36" s="42" t="s">
        <v>362</v>
      </c>
      <c r="L36" s="140" t="s">
        <v>987</v>
      </c>
    </row>
    <row r="37" spans="1:12" x14ac:dyDescent="0.55000000000000004">
      <c r="A37" s="129"/>
      <c r="B37" s="129"/>
      <c r="C37" s="138"/>
      <c r="D37" s="30" t="s">
        <v>889</v>
      </c>
      <c r="E37" s="30" t="s">
        <v>988</v>
      </c>
      <c r="F37" s="30" t="s">
        <v>989</v>
      </c>
      <c r="G37" s="40">
        <v>5.3554830000000003E-3</v>
      </c>
      <c r="H37" s="138"/>
      <c r="I37" s="30" t="s">
        <v>990</v>
      </c>
      <c r="J37" s="30" t="s">
        <v>991</v>
      </c>
      <c r="K37" s="40">
        <v>3.2267380000000001E-12</v>
      </c>
      <c r="L37" s="138"/>
    </row>
    <row r="38" spans="1:12" ht="14.7" thickBot="1" x14ac:dyDescent="0.6">
      <c r="A38" s="129"/>
      <c r="B38" s="130"/>
      <c r="C38" s="139"/>
      <c r="D38" s="46" t="s">
        <v>894</v>
      </c>
      <c r="E38" s="46" t="s">
        <v>992</v>
      </c>
      <c r="F38" s="67" t="s">
        <v>993</v>
      </c>
      <c r="G38" s="48">
        <v>7.473711E-13</v>
      </c>
      <c r="H38" s="139"/>
      <c r="I38" s="46" t="s">
        <v>994</v>
      </c>
      <c r="J38" s="46" t="s">
        <v>995</v>
      </c>
      <c r="K38" s="48" t="s">
        <v>247</v>
      </c>
      <c r="L38" s="139"/>
    </row>
    <row r="39" spans="1:12" x14ac:dyDescent="0.55000000000000004">
      <c r="A39" s="129"/>
      <c r="B39" s="128" t="s">
        <v>261</v>
      </c>
      <c r="C39" s="140" t="s">
        <v>265</v>
      </c>
      <c r="D39" s="42" t="s">
        <v>884</v>
      </c>
      <c r="E39" s="42" t="s">
        <v>960</v>
      </c>
      <c r="F39" s="42" t="s">
        <v>362</v>
      </c>
      <c r="G39" s="42" t="s">
        <v>362</v>
      </c>
      <c r="H39" s="140" t="s">
        <v>996</v>
      </c>
      <c r="I39" s="42" t="s">
        <v>962</v>
      </c>
      <c r="J39" s="42" t="s">
        <v>362</v>
      </c>
      <c r="K39" s="42" t="s">
        <v>362</v>
      </c>
      <c r="L39" s="140" t="s">
        <v>997</v>
      </c>
    </row>
    <row r="40" spans="1:12" x14ac:dyDescent="0.55000000000000004">
      <c r="A40" s="129"/>
      <c r="B40" s="129"/>
      <c r="C40" s="138"/>
      <c r="D40" s="30" t="s">
        <v>889</v>
      </c>
      <c r="E40" s="30" t="s">
        <v>964</v>
      </c>
      <c r="F40" s="30" t="s">
        <v>998</v>
      </c>
      <c r="G40" s="40">
        <v>3.168194E-4</v>
      </c>
      <c r="H40" s="138"/>
      <c r="I40" s="30" t="s">
        <v>966</v>
      </c>
      <c r="J40" s="30" t="s">
        <v>999</v>
      </c>
      <c r="K40" s="40">
        <v>8.0856590000000002E-8</v>
      </c>
      <c r="L40" s="138"/>
    </row>
    <row r="41" spans="1:12" ht="14.7" thickBot="1" x14ac:dyDescent="0.6">
      <c r="A41" s="129"/>
      <c r="B41" s="129"/>
      <c r="C41" s="139"/>
      <c r="D41" s="46" t="s">
        <v>894</v>
      </c>
      <c r="E41" s="46" t="s">
        <v>968</v>
      </c>
      <c r="F41" s="46" t="s">
        <v>1000</v>
      </c>
      <c r="G41" s="48" t="s">
        <v>247</v>
      </c>
      <c r="H41" s="139"/>
      <c r="I41" s="46" t="s">
        <v>970</v>
      </c>
      <c r="J41" s="46" t="s">
        <v>1001</v>
      </c>
      <c r="K41" s="48" t="s">
        <v>247</v>
      </c>
      <c r="L41" s="139"/>
    </row>
    <row r="42" spans="1:12" x14ac:dyDescent="0.55000000000000004">
      <c r="A42" s="129"/>
      <c r="B42" s="129"/>
      <c r="C42" s="140" t="s">
        <v>153</v>
      </c>
      <c r="D42" s="42" t="s">
        <v>884</v>
      </c>
      <c r="E42" s="42" t="s">
        <v>972</v>
      </c>
      <c r="F42" s="42" t="s">
        <v>362</v>
      </c>
      <c r="G42" s="42" t="s">
        <v>362</v>
      </c>
      <c r="H42" s="140" t="s">
        <v>973</v>
      </c>
      <c r="I42" s="42" t="s">
        <v>974</v>
      </c>
      <c r="J42" s="42" t="s">
        <v>362</v>
      </c>
      <c r="K42" s="42" t="s">
        <v>362</v>
      </c>
      <c r="L42" s="140" t="s">
        <v>1002</v>
      </c>
    </row>
    <row r="43" spans="1:12" x14ac:dyDescent="0.55000000000000004">
      <c r="A43" s="129"/>
      <c r="B43" s="129"/>
      <c r="C43" s="138"/>
      <c r="D43" s="30" t="s">
        <v>889</v>
      </c>
      <c r="E43" s="30" t="s">
        <v>976</v>
      </c>
      <c r="F43" s="30" t="s">
        <v>1003</v>
      </c>
      <c r="G43" s="40">
        <v>1.470833E-6</v>
      </c>
      <c r="H43" s="138"/>
      <c r="I43" s="30" t="s">
        <v>978</v>
      </c>
      <c r="J43" s="30" t="s">
        <v>979</v>
      </c>
      <c r="K43" s="40">
        <v>3.4196120000000002E-9</v>
      </c>
      <c r="L43" s="138"/>
    </row>
    <row r="44" spans="1:12" ht="14.7" thickBot="1" x14ac:dyDescent="0.6">
      <c r="A44" s="129"/>
      <c r="B44" s="129"/>
      <c r="C44" s="139"/>
      <c r="D44" s="46" t="s">
        <v>894</v>
      </c>
      <c r="E44" s="46" t="s">
        <v>980</v>
      </c>
      <c r="F44" s="46" t="s">
        <v>1004</v>
      </c>
      <c r="G44" s="48" t="s">
        <v>247</v>
      </c>
      <c r="H44" s="139"/>
      <c r="I44" s="46" t="s">
        <v>982</v>
      </c>
      <c r="J44" s="46" t="s">
        <v>1005</v>
      </c>
      <c r="K44" s="48" t="s">
        <v>247</v>
      </c>
      <c r="L44" s="139"/>
    </row>
    <row r="45" spans="1:12" x14ac:dyDescent="0.55000000000000004">
      <c r="A45" s="129"/>
      <c r="B45" s="129"/>
      <c r="C45" s="140" t="s">
        <v>170</v>
      </c>
      <c r="D45" s="42" t="s">
        <v>884</v>
      </c>
      <c r="E45" s="42" t="s">
        <v>984</v>
      </c>
      <c r="F45" s="42" t="s">
        <v>362</v>
      </c>
      <c r="G45" s="42" t="s">
        <v>362</v>
      </c>
      <c r="H45" s="140" t="s">
        <v>1006</v>
      </c>
      <c r="I45" s="42" t="s">
        <v>986</v>
      </c>
      <c r="J45" s="42" t="s">
        <v>362</v>
      </c>
      <c r="K45" s="42" t="s">
        <v>362</v>
      </c>
      <c r="L45" s="140" t="s">
        <v>1007</v>
      </c>
    </row>
    <row r="46" spans="1:12" x14ac:dyDescent="0.55000000000000004">
      <c r="A46" s="129"/>
      <c r="B46" s="129"/>
      <c r="C46" s="138"/>
      <c r="D46" s="30" t="s">
        <v>889</v>
      </c>
      <c r="E46" s="30" t="s">
        <v>988</v>
      </c>
      <c r="F46" s="30" t="s">
        <v>1008</v>
      </c>
      <c r="G46" s="40">
        <v>5.4843640000000005E-4</v>
      </c>
      <c r="H46" s="138"/>
      <c r="I46" s="30" t="s">
        <v>990</v>
      </c>
      <c r="J46" s="30" t="s">
        <v>1009</v>
      </c>
      <c r="K46" s="40">
        <v>1.206181E-12</v>
      </c>
      <c r="L46" s="138"/>
    </row>
    <row r="47" spans="1:12" ht="14.7" thickBot="1" x14ac:dyDescent="0.6">
      <c r="A47" s="129"/>
      <c r="B47" s="130"/>
      <c r="C47" s="139"/>
      <c r="D47" s="46" t="s">
        <v>894</v>
      </c>
      <c r="E47" s="46" t="s">
        <v>992</v>
      </c>
      <c r="F47" s="46" t="s">
        <v>1010</v>
      </c>
      <c r="G47" s="48">
        <v>1.4062130000000001E-15</v>
      </c>
      <c r="H47" s="139"/>
      <c r="I47" s="46" t="s">
        <v>994</v>
      </c>
      <c r="J47" s="46" t="s">
        <v>1011</v>
      </c>
      <c r="K47" s="48" t="s">
        <v>247</v>
      </c>
      <c r="L47" s="139"/>
    </row>
    <row r="48" spans="1:12" x14ac:dyDescent="0.55000000000000004">
      <c r="A48" s="129"/>
      <c r="B48" s="128" t="s">
        <v>262</v>
      </c>
      <c r="C48" s="140" t="s">
        <v>265</v>
      </c>
      <c r="D48" s="42" t="s">
        <v>884</v>
      </c>
      <c r="E48" s="42" t="s">
        <v>960</v>
      </c>
      <c r="F48" s="42" t="s">
        <v>362</v>
      </c>
      <c r="G48" s="42" t="s">
        <v>362</v>
      </c>
      <c r="H48" s="140" t="s">
        <v>1012</v>
      </c>
      <c r="I48" s="42" t="s">
        <v>962</v>
      </c>
      <c r="J48" s="42" t="s">
        <v>362</v>
      </c>
      <c r="K48" s="42" t="s">
        <v>362</v>
      </c>
      <c r="L48" s="140" t="s">
        <v>1013</v>
      </c>
    </row>
    <row r="49" spans="1:14" x14ac:dyDescent="0.55000000000000004">
      <c r="A49" s="129"/>
      <c r="B49" s="129"/>
      <c r="C49" s="138"/>
      <c r="D49" s="30" t="s">
        <v>889</v>
      </c>
      <c r="E49" s="30" t="s">
        <v>964</v>
      </c>
      <c r="F49" s="30" t="s">
        <v>1014</v>
      </c>
      <c r="G49" s="40">
        <v>2.1695809999999999E-2</v>
      </c>
      <c r="H49" s="138"/>
      <c r="I49" s="30" t="s">
        <v>966</v>
      </c>
      <c r="J49" s="30" t="s">
        <v>1015</v>
      </c>
      <c r="K49" s="40">
        <v>6.0750890000000004E-6</v>
      </c>
      <c r="L49" s="138"/>
    </row>
    <row r="50" spans="1:14" ht="14.7" thickBot="1" x14ac:dyDescent="0.6">
      <c r="A50" s="129"/>
      <c r="B50" s="129"/>
      <c r="C50" s="139"/>
      <c r="D50" s="46" t="s">
        <v>894</v>
      </c>
      <c r="E50" s="46" t="s">
        <v>968</v>
      </c>
      <c r="F50" s="46" t="s">
        <v>1016</v>
      </c>
      <c r="G50" s="48">
        <v>9.4696959999999996E-12</v>
      </c>
      <c r="H50" s="139"/>
      <c r="I50" s="46" t="s">
        <v>970</v>
      </c>
      <c r="J50" s="67" t="s">
        <v>1017</v>
      </c>
      <c r="K50" s="48" t="s">
        <v>247</v>
      </c>
      <c r="L50" s="139"/>
    </row>
    <row r="51" spans="1:14" x14ac:dyDescent="0.55000000000000004">
      <c r="A51" s="129"/>
      <c r="B51" s="129"/>
      <c r="C51" s="140" t="s">
        <v>153</v>
      </c>
      <c r="D51" s="42" t="s">
        <v>884</v>
      </c>
      <c r="E51" s="42" t="s">
        <v>972</v>
      </c>
      <c r="F51" s="42" t="s">
        <v>362</v>
      </c>
      <c r="G51" s="42" t="s">
        <v>362</v>
      </c>
      <c r="H51" s="140" t="s">
        <v>1018</v>
      </c>
      <c r="I51" s="42" t="s">
        <v>974</v>
      </c>
      <c r="J51" s="42" t="s">
        <v>362</v>
      </c>
      <c r="K51" s="42" t="s">
        <v>362</v>
      </c>
      <c r="L51" s="140" t="s">
        <v>1019</v>
      </c>
    </row>
    <row r="52" spans="1:14" x14ac:dyDescent="0.55000000000000004">
      <c r="A52" s="129"/>
      <c r="B52" s="129"/>
      <c r="C52" s="138"/>
      <c r="D52" s="30" t="s">
        <v>889</v>
      </c>
      <c r="E52" s="30" t="s">
        <v>976</v>
      </c>
      <c r="F52" s="30" t="s">
        <v>1020</v>
      </c>
      <c r="G52" s="40">
        <v>3.8725450000000002E-4</v>
      </c>
      <c r="H52" s="138"/>
      <c r="I52" s="30" t="s">
        <v>978</v>
      </c>
      <c r="J52" s="30" t="s">
        <v>1021</v>
      </c>
      <c r="K52" s="40">
        <v>1.7865430000000001E-6</v>
      </c>
      <c r="L52" s="138"/>
    </row>
    <row r="53" spans="1:14" ht="14.7" thickBot="1" x14ac:dyDescent="0.6">
      <c r="A53" s="129"/>
      <c r="B53" s="129"/>
      <c r="C53" s="139"/>
      <c r="D53" s="46" t="s">
        <v>894</v>
      </c>
      <c r="E53" s="46" t="s">
        <v>980</v>
      </c>
      <c r="F53" s="46" t="s">
        <v>1022</v>
      </c>
      <c r="G53" s="48" t="s">
        <v>247</v>
      </c>
      <c r="H53" s="139"/>
      <c r="I53" s="46" t="s">
        <v>982</v>
      </c>
      <c r="J53" s="46" t="s">
        <v>1023</v>
      </c>
      <c r="K53" s="48" t="s">
        <v>247</v>
      </c>
      <c r="L53" s="139"/>
    </row>
    <row r="54" spans="1:14" x14ac:dyDescent="0.55000000000000004">
      <c r="A54" s="129"/>
      <c r="B54" s="129"/>
      <c r="C54" s="140" t="s">
        <v>170</v>
      </c>
      <c r="D54" s="42" t="s">
        <v>884</v>
      </c>
      <c r="E54" s="42" t="s">
        <v>984</v>
      </c>
      <c r="F54" s="42" t="s">
        <v>362</v>
      </c>
      <c r="G54" s="42" t="s">
        <v>362</v>
      </c>
      <c r="H54" s="140" t="s">
        <v>1024</v>
      </c>
      <c r="I54" s="42" t="s">
        <v>986</v>
      </c>
      <c r="J54" s="42" t="s">
        <v>362</v>
      </c>
      <c r="K54" s="42" t="s">
        <v>362</v>
      </c>
      <c r="L54" s="140" t="s">
        <v>1025</v>
      </c>
    </row>
    <row r="55" spans="1:14" x14ac:dyDescent="0.55000000000000004">
      <c r="A55" s="129"/>
      <c r="B55" s="129"/>
      <c r="C55" s="138"/>
      <c r="D55" s="30" t="s">
        <v>889</v>
      </c>
      <c r="E55" s="30" t="s">
        <v>988</v>
      </c>
      <c r="F55" s="30" t="s">
        <v>1026</v>
      </c>
      <c r="G55" s="40">
        <v>2.5122120000000001E-2</v>
      </c>
      <c r="H55" s="138"/>
      <c r="I55" s="30" t="s">
        <v>990</v>
      </c>
      <c r="J55" s="30" t="s">
        <v>1027</v>
      </c>
      <c r="K55" s="40">
        <v>3.4112219999999999E-8</v>
      </c>
      <c r="L55" s="138"/>
    </row>
    <row r="56" spans="1:14" ht="14.7" thickBot="1" x14ac:dyDescent="0.6">
      <c r="A56" s="130"/>
      <c r="B56" s="130"/>
      <c r="C56" s="139"/>
      <c r="D56" s="46" t="s">
        <v>894</v>
      </c>
      <c r="E56" s="46" t="s">
        <v>992</v>
      </c>
      <c r="F56" s="46" t="s">
        <v>1028</v>
      </c>
      <c r="G56" s="48">
        <v>6.6625880000000005E-8</v>
      </c>
      <c r="H56" s="139"/>
      <c r="I56" s="46" t="s">
        <v>994</v>
      </c>
      <c r="J56" s="46" t="s">
        <v>1029</v>
      </c>
      <c r="K56" s="48" t="s">
        <v>247</v>
      </c>
      <c r="L56" s="139"/>
    </row>
    <row r="61" spans="1:14" x14ac:dyDescent="0.55000000000000004">
      <c r="A61" s="131" t="s">
        <v>876</v>
      </c>
      <c r="B61" s="115" t="s">
        <v>877</v>
      </c>
      <c r="C61" s="102"/>
      <c r="D61" s="97" t="s">
        <v>124</v>
      </c>
      <c r="E61" s="119" t="s">
        <v>126</v>
      </c>
      <c r="F61" s="141"/>
      <c r="G61" s="141"/>
      <c r="H61" s="142"/>
      <c r="I61" s="119" t="s">
        <v>144</v>
      </c>
      <c r="J61" s="141"/>
      <c r="K61" s="141"/>
      <c r="L61" s="142"/>
      <c r="N61" s="3" t="s">
        <v>1582</v>
      </c>
    </row>
    <row r="62" spans="1:14" ht="14.7" thickBot="1" x14ac:dyDescent="0.6">
      <c r="A62" s="130"/>
      <c r="B62" s="144"/>
      <c r="C62" s="145"/>
      <c r="D62" s="125"/>
      <c r="E62" s="45" t="s">
        <v>879</v>
      </c>
      <c r="F62" s="45" t="s">
        <v>880</v>
      </c>
      <c r="G62" s="45" t="s">
        <v>881</v>
      </c>
      <c r="H62" s="45" t="s">
        <v>882</v>
      </c>
      <c r="I62" s="45" t="s">
        <v>879</v>
      </c>
      <c r="J62" s="45" t="s">
        <v>880</v>
      </c>
      <c r="K62" s="45" t="s">
        <v>881</v>
      </c>
      <c r="L62" s="45" t="s">
        <v>882</v>
      </c>
    </row>
    <row r="63" spans="1:14" x14ac:dyDescent="0.55000000000000004">
      <c r="A63" s="128" t="s">
        <v>1030</v>
      </c>
      <c r="B63" s="146" t="s">
        <v>260</v>
      </c>
      <c r="C63" s="147"/>
      <c r="D63" s="51" t="s">
        <v>265</v>
      </c>
      <c r="E63" s="73" t="s">
        <v>1031</v>
      </c>
      <c r="F63" s="51" t="s">
        <v>1032</v>
      </c>
      <c r="G63" s="69">
        <v>4.2064320000000002E-4</v>
      </c>
      <c r="H63" s="51" t="s">
        <v>1033</v>
      </c>
      <c r="I63" s="51" t="s">
        <v>1034</v>
      </c>
      <c r="J63" s="51" t="s">
        <v>1035</v>
      </c>
      <c r="K63" s="69">
        <v>8.7566539999999999E-7</v>
      </c>
      <c r="L63" s="70" t="s">
        <v>1036</v>
      </c>
    </row>
    <row r="64" spans="1:14" x14ac:dyDescent="0.55000000000000004">
      <c r="A64" s="129"/>
      <c r="B64" s="143"/>
      <c r="C64" s="103"/>
      <c r="D64" s="30" t="s">
        <v>153</v>
      </c>
      <c r="E64" s="30" t="s">
        <v>1037</v>
      </c>
      <c r="F64" s="30" t="s">
        <v>1038</v>
      </c>
      <c r="G64" s="40">
        <v>1.233329E-5</v>
      </c>
      <c r="H64" s="66" t="s">
        <v>1039</v>
      </c>
      <c r="I64" s="30" t="s">
        <v>1040</v>
      </c>
      <c r="J64" s="30" t="s">
        <v>1041</v>
      </c>
      <c r="K64" s="40">
        <v>1.0451139999999999E-6</v>
      </c>
      <c r="L64" s="30" t="s">
        <v>1042</v>
      </c>
    </row>
    <row r="65" spans="1:12" ht="14.7" thickBot="1" x14ac:dyDescent="0.6">
      <c r="A65" s="129"/>
      <c r="B65" s="144"/>
      <c r="C65" s="145"/>
      <c r="D65" s="54" t="s">
        <v>170</v>
      </c>
      <c r="E65" s="46" t="s">
        <v>1043</v>
      </c>
      <c r="F65" s="46" t="s">
        <v>1044</v>
      </c>
      <c r="G65" s="48">
        <v>1.5917559999999999E-3</v>
      </c>
      <c r="H65" s="67" t="s">
        <v>1045</v>
      </c>
      <c r="I65" s="46" t="s">
        <v>1046</v>
      </c>
      <c r="J65" s="46" t="s">
        <v>1047</v>
      </c>
      <c r="K65" s="48">
        <v>1.901711E-6</v>
      </c>
      <c r="L65" s="46" t="s">
        <v>1048</v>
      </c>
    </row>
    <row r="66" spans="1:12" x14ac:dyDescent="0.55000000000000004">
      <c r="A66" s="129"/>
      <c r="B66" s="143" t="s">
        <v>261</v>
      </c>
      <c r="C66" s="103"/>
      <c r="D66" s="51" t="s">
        <v>265</v>
      </c>
      <c r="E66" s="73" t="s">
        <v>1031</v>
      </c>
      <c r="F66" s="51" t="s">
        <v>1049</v>
      </c>
      <c r="G66" s="69">
        <v>2.2463889999999999E-4</v>
      </c>
      <c r="H66" s="51" t="s">
        <v>1050</v>
      </c>
      <c r="I66" s="51" t="s">
        <v>1034</v>
      </c>
      <c r="J66" s="51" t="s">
        <v>1035</v>
      </c>
      <c r="K66" s="69">
        <v>8.7956440000000005E-7</v>
      </c>
      <c r="L66" s="51" t="s">
        <v>1051</v>
      </c>
    </row>
    <row r="67" spans="1:12" x14ac:dyDescent="0.55000000000000004">
      <c r="A67" s="129"/>
      <c r="B67" s="143"/>
      <c r="C67" s="103"/>
      <c r="D67" s="30" t="s">
        <v>153</v>
      </c>
      <c r="E67" s="30" t="s">
        <v>1037</v>
      </c>
      <c r="F67" s="30" t="s">
        <v>1052</v>
      </c>
      <c r="G67" s="40">
        <v>6.2572760000000004E-6</v>
      </c>
      <c r="H67" s="30" t="s">
        <v>1053</v>
      </c>
      <c r="I67" s="30" t="s">
        <v>1040</v>
      </c>
      <c r="J67" s="30" t="s">
        <v>1054</v>
      </c>
      <c r="K67" s="40">
        <v>1.652667E-6</v>
      </c>
      <c r="L67" s="30" t="s">
        <v>1055</v>
      </c>
    </row>
    <row r="68" spans="1:12" ht="14.7" thickBot="1" x14ac:dyDescent="0.6">
      <c r="A68" s="129"/>
      <c r="B68" s="144"/>
      <c r="C68" s="145"/>
      <c r="D68" s="54" t="s">
        <v>170</v>
      </c>
      <c r="E68" s="46" t="s">
        <v>1043</v>
      </c>
      <c r="F68" s="46" t="s">
        <v>1056</v>
      </c>
      <c r="G68" s="48">
        <v>1.1477499999999999E-3</v>
      </c>
      <c r="H68" s="46" t="s">
        <v>1057</v>
      </c>
      <c r="I68" s="46" t="s">
        <v>1046</v>
      </c>
      <c r="J68" s="46" t="s">
        <v>1058</v>
      </c>
      <c r="K68" s="48">
        <v>1.6484669999999999E-6</v>
      </c>
      <c r="L68" s="46" t="s">
        <v>1059</v>
      </c>
    </row>
    <row r="69" spans="1:12" x14ac:dyDescent="0.55000000000000004">
      <c r="A69" s="129"/>
      <c r="B69" s="143" t="s">
        <v>262</v>
      </c>
      <c r="C69" s="103"/>
      <c r="D69" s="51" t="s">
        <v>265</v>
      </c>
      <c r="E69" s="73" t="s">
        <v>1031</v>
      </c>
      <c r="F69" s="51" t="s">
        <v>1060</v>
      </c>
      <c r="G69" s="69">
        <v>1.0790060000000001E-2</v>
      </c>
      <c r="H69" s="51" t="s">
        <v>1061</v>
      </c>
      <c r="I69" s="51" t="s">
        <v>1034</v>
      </c>
      <c r="J69" s="51" t="s">
        <v>1062</v>
      </c>
      <c r="K69" s="69">
        <v>8.5267569999999994E-5</v>
      </c>
      <c r="L69" s="51" t="s">
        <v>1063</v>
      </c>
    </row>
    <row r="70" spans="1:12" x14ac:dyDescent="0.55000000000000004">
      <c r="A70" s="129"/>
      <c r="B70" s="143"/>
      <c r="C70" s="103"/>
      <c r="D70" s="30" t="s">
        <v>153</v>
      </c>
      <c r="E70" s="30" t="s">
        <v>1037</v>
      </c>
      <c r="F70" s="30" t="s">
        <v>1064</v>
      </c>
      <c r="G70" s="40">
        <v>1.8862659999999999E-3</v>
      </c>
      <c r="H70" s="66" t="s">
        <v>1065</v>
      </c>
      <c r="I70" s="30" t="s">
        <v>1040</v>
      </c>
      <c r="J70" s="30" t="s">
        <v>1066</v>
      </c>
      <c r="K70" s="40">
        <v>3.1861319999999999E-4</v>
      </c>
      <c r="L70" s="30" t="s">
        <v>1067</v>
      </c>
    </row>
    <row r="71" spans="1:12" ht="14.7" thickBot="1" x14ac:dyDescent="0.6">
      <c r="A71" s="130"/>
      <c r="B71" s="144"/>
      <c r="C71" s="145"/>
      <c r="D71" s="54" t="s">
        <v>170</v>
      </c>
      <c r="E71" s="42" t="s">
        <v>1043</v>
      </c>
      <c r="F71" s="46" t="s">
        <v>1068</v>
      </c>
      <c r="G71" s="48">
        <v>7.6375200000000004E-2</v>
      </c>
      <c r="H71" s="46" t="s">
        <v>1069</v>
      </c>
      <c r="I71" s="46" t="s">
        <v>1046</v>
      </c>
      <c r="J71" s="46" t="s">
        <v>1070</v>
      </c>
      <c r="K71" s="48">
        <v>1.952701E-3</v>
      </c>
      <c r="L71" s="46" t="s">
        <v>954</v>
      </c>
    </row>
    <row r="72" spans="1:12" ht="14.7" thickBot="1" x14ac:dyDescent="0.6">
      <c r="A72" s="128" t="s">
        <v>1071</v>
      </c>
      <c r="B72" s="146" t="s">
        <v>260</v>
      </c>
      <c r="C72" s="147"/>
      <c r="D72" s="51" t="s">
        <v>265</v>
      </c>
      <c r="E72" s="51" t="s">
        <v>1072</v>
      </c>
      <c r="F72" s="51" t="s">
        <v>1073</v>
      </c>
      <c r="G72" s="48" t="s">
        <v>247</v>
      </c>
      <c r="H72" s="51" t="s">
        <v>996</v>
      </c>
      <c r="I72" s="51" t="s">
        <v>1074</v>
      </c>
      <c r="J72" s="51" t="s">
        <v>1075</v>
      </c>
      <c r="K72" s="48" t="s">
        <v>247</v>
      </c>
      <c r="L72" s="70" t="s">
        <v>1076</v>
      </c>
    </row>
    <row r="73" spans="1:12" ht="14.7" thickBot="1" x14ac:dyDescent="0.6">
      <c r="A73" s="129"/>
      <c r="B73" s="143"/>
      <c r="C73" s="103"/>
      <c r="D73" s="30" t="s">
        <v>153</v>
      </c>
      <c r="E73" s="30" t="s">
        <v>1077</v>
      </c>
      <c r="F73" s="65" t="s">
        <v>1078</v>
      </c>
      <c r="G73" s="48" t="s">
        <v>247</v>
      </c>
      <c r="H73" s="30" t="s">
        <v>1079</v>
      </c>
      <c r="I73" s="30" t="s">
        <v>1080</v>
      </c>
      <c r="J73" s="30" t="s">
        <v>1081</v>
      </c>
      <c r="K73" s="48" t="s">
        <v>247</v>
      </c>
      <c r="L73" s="30" t="s">
        <v>1082</v>
      </c>
    </row>
    <row r="74" spans="1:12" ht="14.7" thickBot="1" x14ac:dyDescent="0.6">
      <c r="A74" s="129"/>
      <c r="B74" s="144"/>
      <c r="C74" s="145"/>
      <c r="D74" s="54" t="s">
        <v>170</v>
      </c>
      <c r="E74" s="46" t="s">
        <v>1083</v>
      </c>
      <c r="F74" s="67" t="s">
        <v>1084</v>
      </c>
      <c r="G74" s="48">
        <v>2.2376770000000001E-16</v>
      </c>
      <c r="H74" s="46" t="s">
        <v>1085</v>
      </c>
      <c r="I74" s="46" t="s">
        <v>1086</v>
      </c>
      <c r="J74" s="46" t="s">
        <v>1087</v>
      </c>
      <c r="K74" s="48" t="s">
        <v>247</v>
      </c>
      <c r="L74" s="67" t="s">
        <v>1088</v>
      </c>
    </row>
    <row r="75" spans="1:12" ht="14.7" thickBot="1" x14ac:dyDescent="0.6">
      <c r="A75" s="129"/>
      <c r="B75" s="143" t="s">
        <v>261</v>
      </c>
      <c r="C75" s="103"/>
      <c r="D75" s="51" t="s">
        <v>265</v>
      </c>
      <c r="E75" s="51" t="s">
        <v>1072</v>
      </c>
      <c r="F75" s="30" t="s">
        <v>1089</v>
      </c>
      <c r="G75" s="48" t="s">
        <v>247</v>
      </c>
      <c r="H75" s="51" t="s">
        <v>1090</v>
      </c>
      <c r="I75" s="51" t="s">
        <v>1074</v>
      </c>
      <c r="J75" s="51" t="s">
        <v>1091</v>
      </c>
      <c r="K75" s="48" t="s">
        <v>247</v>
      </c>
      <c r="L75" s="51" t="s">
        <v>1092</v>
      </c>
    </row>
    <row r="76" spans="1:12" ht="14.7" thickBot="1" x14ac:dyDescent="0.6">
      <c r="A76" s="129"/>
      <c r="B76" s="143"/>
      <c r="C76" s="103"/>
      <c r="D76" s="30" t="s">
        <v>153</v>
      </c>
      <c r="E76" s="30" t="s">
        <v>1077</v>
      </c>
      <c r="F76" s="30" t="s">
        <v>1093</v>
      </c>
      <c r="G76" s="48" t="s">
        <v>247</v>
      </c>
      <c r="H76" s="30" t="s">
        <v>1094</v>
      </c>
      <c r="I76" s="30" t="s">
        <v>1080</v>
      </c>
      <c r="J76" s="30" t="s">
        <v>1095</v>
      </c>
      <c r="K76" s="48" t="s">
        <v>247</v>
      </c>
      <c r="L76" s="30" t="s">
        <v>1096</v>
      </c>
    </row>
    <row r="77" spans="1:12" ht="14.7" thickBot="1" x14ac:dyDescent="0.6">
      <c r="A77" s="129"/>
      <c r="B77" s="144"/>
      <c r="C77" s="145"/>
      <c r="D77" s="54" t="s">
        <v>170</v>
      </c>
      <c r="E77" s="46" t="s">
        <v>1083</v>
      </c>
      <c r="F77" s="67" t="s">
        <v>1097</v>
      </c>
      <c r="G77" s="48" t="s">
        <v>247</v>
      </c>
      <c r="H77" s="46" t="s">
        <v>1098</v>
      </c>
      <c r="I77" s="46" t="s">
        <v>1086</v>
      </c>
      <c r="J77" s="46" t="s">
        <v>1099</v>
      </c>
      <c r="K77" s="48" t="s">
        <v>247</v>
      </c>
      <c r="L77" s="67" t="s">
        <v>1100</v>
      </c>
    </row>
    <row r="78" spans="1:12" ht="14.7" thickBot="1" x14ac:dyDescent="0.6">
      <c r="A78" s="129"/>
      <c r="B78" s="143" t="s">
        <v>262</v>
      </c>
      <c r="C78" s="103"/>
      <c r="D78" s="51" t="s">
        <v>265</v>
      </c>
      <c r="E78" s="51" t="s">
        <v>1072</v>
      </c>
      <c r="F78" s="51" t="s">
        <v>1101</v>
      </c>
      <c r="G78" s="48">
        <v>1.291256E-12</v>
      </c>
      <c r="H78" s="51" t="s">
        <v>1102</v>
      </c>
      <c r="I78" s="51" t="s">
        <v>1074</v>
      </c>
      <c r="J78" s="51" t="s">
        <v>1103</v>
      </c>
      <c r="K78" s="48" t="s">
        <v>247</v>
      </c>
      <c r="L78" s="70" t="s">
        <v>1569</v>
      </c>
    </row>
    <row r="79" spans="1:12" ht="14.7" thickBot="1" x14ac:dyDescent="0.6">
      <c r="A79" s="129"/>
      <c r="B79" s="143"/>
      <c r="C79" s="103"/>
      <c r="D79" s="30" t="s">
        <v>153</v>
      </c>
      <c r="E79" s="30" t="s">
        <v>1077</v>
      </c>
      <c r="F79" s="30" t="s">
        <v>1104</v>
      </c>
      <c r="G79" s="48" t="s">
        <v>247</v>
      </c>
      <c r="H79" s="30" t="s">
        <v>1105</v>
      </c>
      <c r="I79" s="30" t="s">
        <v>1080</v>
      </c>
      <c r="J79" s="30" t="s">
        <v>1106</v>
      </c>
      <c r="K79" s="48" t="s">
        <v>247</v>
      </c>
      <c r="L79" s="30" t="s">
        <v>1107</v>
      </c>
    </row>
    <row r="80" spans="1:12" ht="14.7" thickBot="1" x14ac:dyDescent="0.6">
      <c r="A80" s="130"/>
      <c r="B80" s="144"/>
      <c r="C80" s="145"/>
      <c r="D80" s="54" t="s">
        <v>170</v>
      </c>
      <c r="E80" s="46" t="s">
        <v>1083</v>
      </c>
      <c r="F80" s="46" t="s">
        <v>1108</v>
      </c>
      <c r="G80" s="48">
        <v>6.3445490000000001E-9</v>
      </c>
      <c r="H80" s="67" t="s">
        <v>1109</v>
      </c>
      <c r="I80" s="46" t="s">
        <v>1086</v>
      </c>
      <c r="J80" s="46" t="s">
        <v>1110</v>
      </c>
      <c r="K80" s="48" t="s">
        <v>247</v>
      </c>
      <c r="L80" s="46" t="s">
        <v>1111</v>
      </c>
    </row>
  </sheetData>
  <mergeCells count="81">
    <mergeCell ref="H45:H47"/>
    <mergeCell ref="L45:L47"/>
    <mergeCell ref="L51:L53"/>
    <mergeCell ref="B69:C71"/>
    <mergeCell ref="B72:C74"/>
    <mergeCell ref="H54:H56"/>
    <mergeCell ref="L54:L56"/>
    <mergeCell ref="H48:H50"/>
    <mergeCell ref="L48:L50"/>
    <mergeCell ref="H51:H53"/>
    <mergeCell ref="I61:L61"/>
    <mergeCell ref="E61:H61"/>
    <mergeCell ref="B48:B56"/>
    <mergeCell ref="C48:C50"/>
    <mergeCell ref="C54:C56"/>
    <mergeCell ref="C51:C53"/>
    <mergeCell ref="H39:H41"/>
    <mergeCell ref="L39:L41"/>
    <mergeCell ref="C42:C44"/>
    <mergeCell ref="H42:H44"/>
    <mergeCell ref="L42:L44"/>
    <mergeCell ref="L21:L23"/>
    <mergeCell ref="C24:C26"/>
    <mergeCell ref="H24:H26"/>
    <mergeCell ref="L24:L26"/>
    <mergeCell ref="B30:B38"/>
    <mergeCell ref="C30:C32"/>
    <mergeCell ref="H30:H32"/>
    <mergeCell ref="L30:L32"/>
    <mergeCell ref="C33:C35"/>
    <mergeCell ref="H33:H35"/>
    <mergeCell ref="L33:L35"/>
    <mergeCell ref="C36:C38"/>
    <mergeCell ref="H36:H38"/>
    <mergeCell ref="L36:L38"/>
    <mergeCell ref="H27:H29"/>
    <mergeCell ref="L27:L29"/>
    <mergeCell ref="A72:A80"/>
    <mergeCell ref="B1:B2"/>
    <mergeCell ref="B3:B11"/>
    <mergeCell ref="B12:B20"/>
    <mergeCell ref="B21:B29"/>
    <mergeCell ref="B75:C77"/>
    <mergeCell ref="B78:C80"/>
    <mergeCell ref="A61:A62"/>
    <mergeCell ref="A63:A71"/>
    <mergeCell ref="B61:C62"/>
    <mergeCell ref="B63:C65"/>
    <mergeCell ref="B66:C68"/>
    <mergeCell ref="H21:H23"/>
    <mergeCell ref="A1:A2"/>
    <mergeCell ref="C1:C2"/>
    <mergeCell ref="D1:D2"/>
    <mergeCell ref="D61:D62"/>
    <mergeCell ref="A30:A56"/>
    <mergeCell ref="C15:C17"/>
    <mergeCell ref="C12:C14"/>
    <mergeCell ref="C27:C29"/>
    <mergeCell ref="B39:B47"/>
    <mergeCell ref="C39:C41"/>
    <mergeCell ref="C45:C47"/>
    <mergeCell ref="H15:H17"/>
    <mergeCell ref="H9:H11"/>
    <mergeCell ref="C21:C23"/>
    <mergeCell ref="A3:A29"/>
    <mergeCell ref="L15:L17"/>
    <mergeCell ref="C18:C20"/>
    <mergeCell ref="H18:H20"/>
    <mergeCell ref="L18:L20"/>
    <mergeCell ref="E1:H1"/>
    <mergeCell ref="I1:L1"/>
    <mergeCell ref="C6:C8"/>
    <mergeCell ref="H6:H8"/>
    <mergeCell ref="L6:L8"/>
    <mergeCell ref="C3:C5"/>
    <mergeCell ref="H12:H14"/>
    <mergeCell ref="L3:L5"/>
    <mergeCell ref="L9:L11"/>
    <mergeCell ref="C9:C11"/>
    <mergeCell ref="L12:L14"/>
    <mergeCell ref="H3:H5"/>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4EC02-2B1A-4756-9581-8EDF30EF51E7}">
  <dimension ref="A1:Q37"/>
  <sheetViews>
    <sheetView zoomScale="52" workbookViewId="0">
      <selection activeCell="K55" sqref="K55"/>
    </sheetView>
  </sheetViews>
  <sheetFormatPr defaultRowHeight="14.4" x14ac:dyDescent="0.55000000000000004"/>
  <cols>
    <col min="1" max="1" width="16.578125" customWidth="1"/>
    <col min="2" max="2" width="10.578125" customWidth="1"/>
    <col min="3" max="3" width="13.83984375" customWidth="1"/>
    <col min="4" max="4" width="21" customWidth="1"/>
    <col min="5" max="5" width="22.15625" customWidth="1"/>
    <col min="6" max="6" width="18.26171875" customWidth="1"/>
    <col min="7" max="7" width="21.68359375" customWidth="1"/>
    <col min="8" max="8" width="21.41796875" customWidth="1"/>
    <col min="9" max="9" width="23.15625" customWidth="1"/>
    <col min="10" max="10" width="19.68359375" customWidth="1"/>
    <col min="11" max="11" width="25.578125" customWidth="1"/>
    <col min="12" max="12" width="22.26171875" customWidth="1"/>
    <col min="13" max="13" width="26.68359375" customWidth="1"/>
    <col min="14" max="14" width="20.15625" customWidth="1"/>
    <col min="15" max="15" width="26.41796875" customWidth="1"/>
  </cols>
  <sheetData>
    <row r="1" spans="1:17" x14ac:dyDescent="0.55000000000000004">
      <c r="A1" s="131" t="s">
        <v>876</v>
      </c>
      <c r="B1" s="131" t="s">
        <v>124</v>
      </c>
      <c r="C1" s="131" t="s">
        <v>878</v>
      </c>
      <c r="D1" s="119" t="s">
        <v>126</v>
      </c>
      <c r="E1" s="141"/>
      <c r="F1" s="141"/>
      <c r="G1" s="142"/>
      <c r="H1" s="119" t="s">
        <v>144</v>
      </c>
      <c r="I1" s="141"/>
      <c r="J1" s="141"/>
      <c r="K1" s="142"/>
      <c r="L1" s="119" t="s">
        <v>426</v>
      </c>
      <c r="M1" s="141"/>
      <c r="N1" s="141"/>
      <c r="O1" s="142"/>
      <c r="Q1" s="3" t="s">
        <v>1583</v>
      </c>
    </row>
    <row r="2" spans="1:17" ht="14.7" thickBot="1" x14ac:dyDescent="0.6">
      <c r="A2" s="130"/>
      <c r="B2" s="130"/>
      <c r="C2" s="130"/>
      <c r="D2" s="45" t="s">
        <v>879</v>
      </c>
      <c r="E2" s="45" t="s">
        <v>880</v>
      </c>
      <c r="F2" s="45" t="s">
        <v>881</v>
      </c>
      <c r="G2" s="45" t="s">
        <v>882</v>
      </c>
      <c r="H2" s="45" t="s">
        <v>879</v>
      </c>
      <c r="I2" s="45" t="s">
        <v>880</v>
      </c>
      <c r="J2" s="45" t="s">
        <v>881</v>
      </c>
      <c r="K2" s="45" t="s">
        <v>882</v>
      </c>
      <c r="L2" s="45" t="s">
        <v>879</v>
      </c>
      <c r="M2" s="45" t="s">
        <v>880</v>
      </c>
      <c r="N2" s="45" t="s">
        <v>881</v>
      </c>
      <c r="O2" s="45" t="s">
        <v>882</v>
      </c>
    </row>
    <row r="3" spans="1:17" x14ac:dyDescent="0.55000000000000004">
      <c r="A3" s="128" t="s">
        <v>883</v>
      </c>
      <c r="B3" s="140" t="s">
        <v>265</v>
      </c>
      <c r="C3" s="42" t="s">
        <v>884</v>
      </c>
      <c r="D3" s="42" t="s">
        <v>885</v>
      </c>
      <c r="E3" s="42" t="s">
        <v>362</v>
      </c>
      <c r="F3" s="42" t="s">
        <v>362</v>
      </c>
      <c r="G3" s="137" t="s">
        <v>1112</v>
      </c>
      <c r="H3" s="42" t="s">
        <v>1113</v>
      </c>
      <c r="I3" s="42" t="s">
        <v>362</v>
      </c>
      <c r="J3" s="42" t="s">
        <v>362</v>
      </c>
      <c r="K3" s="140" t="s">
        <v>1114</v>
      </c>
      <c r="L3" s="42" t="s">
        <v>1115</v>
      </c>
      <c r="M3" s="42" t="s">
        <v>362</v>
      </c>
      <c r="N3" s="42" t="s">
        <v>362</v>
      </c>
      <c r="O3" s="137" t="s">
        <v>1116</v>
      </c>
    </row>
    <row r="4" spans="1:17" x14ac:dyDescent="0.55000000000000004">
      <c r="A4" s="129"/>
      <c r="B4" s="138"/>
      <c r="C4" s="30" t="s">
        <v>889</v>
      </c>
      <c r="D4" s="30" t="s">
        <v>890</v>
      </c>
      <c r="E4" s="30" t="s">
        <v>1117</v>
      </c>
      <c r="F4" s="40">
        <v>6.2064729999999999E-2</v>
      </c>
      <c r="G4" s="138"/>
      <c r="H4" s="30" t="s">
        <v>1118</v>
      </c>
      <c r="I4" s="66" t="s">
        <v>1119</v>
      </c>
      <c r="J4" s="40">
        <v>4.2000000000000003E-2</v>
      </c>
      <c r="K4" s="138"/>
      <c r="L4" s="30" t="s">
        <v>1120</v>
      </c>
      <c r="M4" s="66" t="s">
        <v>1121</v>
      </c>
      <c r="N4" s="40">
        <v>3.0097850000000001E-14</v>
      </c>
      <c r="O4" s="138"/>
    </row>
    <row r="5" spans="1:17" ht="14.7" thickBot="1" x14ac:dyDescent="0.6">
      <c r="A5" s="129"/>
      <c r="B5" s="139"/>
      <c r="C5" s="46" t="s">
        <v>894</v>
      </c>
      <c r="D5" s="46" t="s">
        <v>895</v>
      </c>
      <c r="E5" s="46" t="s">
        <v>1122</v>
      </c>
      <c r="F5" s="48">
        <v>2.3472979999999998E-3</v>
      </c>
      <c r="G5" s="139"/>
      <c r="H5" s="46" t="s">
        <v>1123</v>
      </c>
      <c r="I5" s="46" t="s">
        <v>1124</v>
      </c>
      <c r="J5" s="48">
        <v>1.0501729999999999E-3</v>
      </c>
      <c r="K5" s="139"/>
      <c r="L5" s="46" t="s">
        <v>1125</v>
      </c>
      <c r="M5" s="46" t="s">
        <v>1126</v>
      </c>
      <c r="N5" s="48" t="s">
        <v>247</v>
      </c>
      <c r="O5" s="139"/>
    </row>
    <row r="6" spans="1:17" x14ac:dyDescent="0.55000000000000004">
      <c r="A6" s="129"/>
      <c r="B6" s="140" t="s">
        <v>153</v>
      </c>
      <c r="C6" s="42" t="s">
        <v>884</v>
      </c>
      <c r="D6" s="42" t="s">
        <v>899</v>
      </c>
      <c r="E6" s="42" t="s">
        <v>362</v>
      </c>
      <c r="F6" s="42" t="s">
        <v>362</v>
      </c>
      <c r="G6" s="140" t="s">
        <v>1127</v>
      </c>
      <c r="H6" s="42" t="s">
        <v>901</v>
      </c>
      <c r="I6" s="42" t="s">
        <v>362</v>
      </c>
      <c r="J6" s="42" t="s">
        <v>362</v>
      </c>
      <c r="K6" s="140" t="s">
        <v>1128</v>
      </c>
      <c r="L6" s="42" t="s">
        <v>1129</v>
      </c>
      <c r="M6" s="42" t="s">
        <v>362</v>
      </c>
      <c r="N6" s="42" t="s">
        <v>362</v>
      </c>
      <c r="O6" s="140" t="s">
        <v>1130</v>
      </c>
    </row>
    <row r="7" spans="1:17" x14ac:dyDescent="0.55000000000000004">
      <c r="A7" s="129"/>
      <c r="B7" s="138"/>
      <c r="C7" s="30" t="s">
        <v>889</v>
      </c>
      <c r="D7" s="30" t="s">
        <v>903</v>
      </c>
      <c r="E7" s="30" t="s">
        <v>1131</v>
      </c>
      <c r="F7" s="40">
        <v>3.1149260000000001E-3</v>
      </c>
      <c r="G7" s="138"/>
      <c r="H7" s="30" t="s">
        <v>1132</v>
      </c>
      <c r="I7" s="66" t="s">
        <v>1133</v>
      </c>
      <c r="J7" s="40">
        <v>1.510417E-3</v>
      </c>
      <c r="K7" s="138"/>
      <c r="L7" s="30" t="s">
        <v>1134</v>
      </c>
      <c r="M7" s="30" t="s">
        <v>1135</v>
      </c>
      <c r="N7" s="40">
        <v>1.0633080000000001E-8</v>
      </c>
      <c r="O7" s="138"/>
    </row>
    <row r="8" spans="1:17" ht="14.7" thickBot="1" x14ac:dyDescent="0.6">
      <c r="A8" s="129"/>
      <c r="B8" s="139"/>
      <c r="C8" s="46" t="s">
        <v>894</v>
      </c>
      <c r="D8" s="46" t="s">
        <v>907</v>
      </c>
      <c r="E8" s="46" t="s">
        <v>1136</v>
      </c>
      <c r="F8" s="48">
        <v>2.034414E-7</v>
      </c>
      <c r="G8" s="139"/>
      <c r="H8" s="46" t="s">
        <v>1137</v>
      </c>
      <c r="I8" s="46" t="s">
        <v>1138</v>
      </c>
      <c r="J8" s="48">
        <v>1.3744670000000001E-10</v>
      </c>
      <c r="K8" s="139"/>
      <c r="L8" s="46" t="s">
        <v>1139</v>
      </c>
      <c r="M8" s="46" t="s">
        <v>1140</v>
      </c>
      <c r="N8" s="48" t="s">
        <v>247</v>
      </c>
      <c r="O8" s="139"/>
    </row>
    <row r="9" spans="1:17" x14ac:dyDescent="0.55000000000000004">
      <c r="A9" s="129"/>
      <c r="B9" s="140" t="s">
        <v>170</v>
      </c>
      <c r="C9" s="42" t="s">
        <v>884</v>
      </c>
      <c r="D9" s="42" t="s">
        <v>1141</v>
      </c>
      <c r="E9" s="42" t="s">
        <v>362</v>
      </c>
      <c r="F9" s="42" t="s">
        <v>362</v>
      </c>
      <c r="G9" s="140" t="s">
        <v>1142</v>
      </c>
      <c r="H9" s="42" t="s">
        <v>913</v>
      </c>
      <c r="I9" s="42" t="s">
        <v>362</v>
      </c>
      <c r="J9" s="42" t="s">
        <v>362</v>
      </c>
      <c r="K9" s="140" t="s">
        <v>1143</v>
      </c>
      <c r="L9" s="42" t="s">
        <v>1144</v>
      </c>
      <c r="M9" s="42" t="s">
        <v>362</v>
      </c>
      <c r="N9" s="42" t="s">
        <v>362</v>
      </c>
      <c r="O9" s="140" t="s">
        <v>1145</v>
      </c>
    </row>
    <row r="10" spans="1:17" x14ac:dyDescent="0.55000000000000004">
      <c r="A10" s="129"/>
      <c r="B10" s="138"/>
      <c r="C10" s="30" t="s">
        <v>889</v>
      </c>
      <c r="D10" s="30" t="s">
        <v>1146</v>
      </c>
      <c r="E10" s="30" t="s">
        <v>1147</v>
      </c>
      <c r="F10" s="40">
        <v>0.61747779999999997</v>
      </c>
      <c r="G10" s="138"/>
      <c r="H10" s="30" t="s">
        <v>917</v>
      </c>
      <c r="I10" s="30" t="s">
        <v>1148</v>
      </c>
      <c r="J10" s="40">
        <v>2.5879539999999999E-3</v>
      </c>
      <c r="K10" s="138"/>
      <c r="L10" s="30" t="s">
        <v>1149</v>
      </c>
      <c r="M10" s="66" t="s">
        <v>1150</v>
      </c>
      <c r="N10" s="40">
        <v>2.3811019999999999E-7</v>
      </c>
      <c r="O10" s="138"/>
    </row>
    <row r="11" spans="1:17" ht="14.7" thickBot="1" x14ac:dyDescent="0.6">
      <c r="A11" s="130"/>
      <c r="B11" s="139"/>
      <c r="C11" s="46" t="s">
        <v>894</v>
      </c>
      <c r="D11" s="46" t="s">
        <v>1151</v>
      </c>
      <c r="E11" s="46" t="s">
        <v>1152</v>
      </c>
      <c r="F11" s="48">
        <v>5.0520519999999999E-2</v>
      </c>
      <c r="G11" s="139"/>
      <c r="H11" s="46" t="s">
        <v>921</v>
      </c>
      <c r="I11" s="46" t="s">
        <v>1153</v>
      </c>
      <c r="J11" s="48">
        <v>1.5505229999999999E-8</v>
      </c>
      <c r="K11" s="139"/>
      <c r="L11" s="46" t="s">
        <v>1154</v>
      </c>
      <c r="M11" s="67" t="s">
        <v>1155</v>
      </c>
      <c r="N11" s="48" t="s">
        <v>247</v>
      </c>
      <c r="O11" s="139"/>
    </row>
    <row r="12" spans="1:17" x14ac:dyDescent="0.55000000000000004">
      <c r="A12" s="128" t="s">
        <v>1071</v>
      </c>
      <c r="B12" s="140" t="s">
        <v>265</v>
      </c>
      <c r="C12" s="42" t="s">
        <v>884</v>
      </c>
      <c r="D12" s="42" t="s">
        <v>960</v>
      </c>
      <c r="E12" s="42" t="s">
        <v>362</v>
      </c>
      <c r="F12" s="42" t="s">
        <v>362</v>
      </c>
      <c r="G12" s="140" t="s">
        <v>1156</v>
      </c>
      <c r="H12" s="42" t="s">
        <v>962</v>
      </c>
      <c r="I12" s="42" t="s">
        <v>362</v>
      </c>
      <c r="J12" s="42" t="s">
        <v>362</v>
      </c>
      <c r="K12" s="140" t="s">
        <v>1157</v>
      </c>
      <c r="L12" s="42" t="s">
        <v>1158</v>
      </c>
      <c r="M12" s="42" t="s">
        <v>362</v>
      </c>
      <c r="N12" s="42" t="s">
        <v>362</v>
      </c>
      <c r="O12" s="137" t="s">
        <v>1159</v>
      </c>
    </row>
    <row r="13" spans="1:17" x14ac:dyDescent="0.55000000000000004">
      <c r="A13" s="129"/>
      <c r="B13" s="138"/>
      <c r="C13" s="30" t="s">
        <v>889</v>
      </c>
      <c r="D13" s="30" t="s">
        <v>1160</v>
      </c>
      <c r="E13" s="30" t="s">
        <v>1161</v>
      </c>
      <c r="F13" s="40">
        <v>9.0986330000000001E-3</v>
      </c>
      <c r="G13" s="138"/>
      <c r="H13" s="30" t="s">
        <v>966</v>
      </c>
      <c r="I13" s="30" t="s">
        <v>1162</v>
      </c>
      <c r="J13" s="40">
        <v>4.0013820000000002E-10</v>
      </c>
      <c r="K13" s="138"/>
      <c r="L13" s="30" t="s">
        <v>1163</v>
      </c>
      <c r="M13" s="30" t="s">
        <v>1164</v>
      </c>
      <c r="N13" s="40" t="s">
        <v>247</v>
      </c>
      <c r="O13" s="138"/>
    </row>
    <row r="14" spans="1:17" ht="14.7" thickBot="1" x14ac:dyDescent="0.6">
      <c r="A14" s="129"/>
      <c r="B14" s="139"/>
      <c r="C14" s="46" t="s">
        <v>894</v>
      </c>
      <c r="D14" s="46" t="s">
        <v>968</v>
      </c>
      <c r="E14" s="46" t="s">
        <v>1165</v>
      </c>
      <c r="F14" s="48">
        <v>7.3595620000000003E-14</v>
      </c>
      <c r="G14" s="139"/>
      <c r="H14" s="46" t="s">
        <v>970</v>
      </c>
      <c r="I14" s="46" t="s">
        <v>1166</v>
      </c>
      <c r="J14" s="48" t="s">
        <v>247</v>
      </c>
      <c r="K14" s="139"/>
      <c r="L14" s="46" t="s">
        <v>1167</v>
      </c>
      <c r="M14" s="46" t="s">
        <v>1168</v>
      </c>
      <c r="N14" s="48" t="s">
        <v>247</v>
      </c>
      <c r="O14" s="139"/>
    </row>
    <row r="15" spans="1:17" x14ac:dyDescent="0.55000000000000004">
      <c r="A15" s="129"/>
      <c r="B15" s="140" t="s">
        <v>153</v>
      </c>
      <c r="C15" s="42" t="s">
        <v>884</v>
      </c>
      <c r="D15" s="42" t="s">
        <v>1169</v>
      </c>
      <c r="E15" s="42" t="s">
        <v>362</v>
      </c>
      <c r="F15" s="42" t="s">
        <v>362</v>
      </c>
      <c r="G15" s="140" t="s">
        <v>1170</v>
      </c>
      <c r="H15" s="42" t="s">
        <v>1171</v>
      </c>
      <c r="I15" s="42" t="s">
        <v>362</v>
      </c>
      <c r="J15" s="42" t="s">
        <v>362</v>
      </c>
      <c r="K15" s="140" t="s">
        <v>1172</v>
      </c>
      <c r="L15" s="42" t="s">
        <v>1173</v>
      </c>
      <c r="M15" s="42" t="s">
        <v>362</v>
      </c>
      <c r="N15" s="42" t="s">
        <v>362</v>
      </c>
      <c r="O15" s="137" t="s">
        <v>1174</v>
      </c>
    </row>
    <row r="16" spans="1:17" x14ac:dyDescent="0.55000000000000004">
      <c r="A16" s="129"/>
      <c r="B16" s="138"/>
      <c r="C16" s="30" t="s">
        <v>889</v>
      </c>
      <c r="D16" s="30" t="s">
        <v>976</v>
      </c>
      <c r="E16" s="30" t="s">
        <v>1175</v>
      </c>
      <c r="F16" s="40">
        <v>1.58455E-7</v>
      </c>
      <c r="G16" s="138"/>
      <c r="H16" s="30" t="s">
        <v>1176</v>
      </c>
      <c r="I16" s="66" t="s">
        <v>1177</v>
      </c>
      <c r="J16" s="40">
        <v>1.224427E-7</v>
      </c>
      <c r="K16" s="138"/>
      <c r="L16" s="30" t="s">
        <v>1178</v>
      </c>
      <c r="M16" s="30" t="s">
        <v>1179</v>
      </c>
      <c r="N16" s="40" t="s">
        <v>247</v>
      </c>
      <c r="O16" s="138"/>
    </row>
    <row r="17" spans="1:16" ht="14.7" thickBot="1" x14ac:dyDescent="0.6">
      <c r="A17" s="129"/>
      <c r="B17" s="139"/>
      <c r="C17" s="46" t="s">
        <v>894</v>
      </c>
      <c r="D17" s="46" t="s">
        <v>980</v>
      </c>
      <c r="E17" s="67" t="s">
        <v>1180</v>
      </c>
      <c r="F17" s="48" t="s">
        <v>247</v>
      </c>
      <c r="G17" s="139"/>
      <c r="H17" s="46" t="s">
        <v>1181</v>
      </c>
      <c r="I17" s="46" t="s">
        <v>1182</v>
      </c>
      <c r="J17" s="48" t="s">
        <v>247</v>
      </c>
      <c r="K17" s="139"/>
      <c r="L17" s="46" t="s">
        <v>1183</v>
      </c>
      <c r="M17" s="67" t="s">
        <v>1184</v>
      </c>
      <c r="N17" s="48" t="s">
        <v>247</v>
      </c>
      <c r="O17" s="139"/>
    </row>
    <row r="18" spans="1:16" x14ac:dyDescent="0.55000000000000004">
      <c r="A18" s="129"/>
      <c r="B18" s="140" t="s">
        <v>170</v>
      </c>
      <c r="C18" s="42" t="s">
        <v>884</v>
      </c>
      <c r="D18" s="42" t="s">
        <v>984</v>
      </c>
      <c r="E18" s="42" t="s">
        <v>362</v>
      </c>
      <c r="F18" s="42" t="s">
        <v>362</v>
      </c>
      <c r="G18" s="140" t="s">
        <v>1185</v>
      </c>
      <c r="H18" s="42" t="s">
        <v>986</v>
      </c>
      <c r="I18" s="42" t="s">
        <v>362</v>
      </c>
      <c r="J18" s="42" t="s">
        <v>362</v>
      </c>
      <c r="K18" s="140" t="s">
        <v>1186</v>
      </c>
      <c r="L18" s="42" t="s">
        <v>1187</v>
      </c>
      <c r="M18" s="42" t="s">
        <v>362</v>
      </c>
      <c r="N18" s="42" t="s">
        <v>362</v>
      </c>
      <c r="O18" s="140" t="s">
        <v>1188</v>
      </c>
    </row>
    <row r="19" spans="1:16" x14ac:dyDescent="0.55000000000000004">
      <c r="A19" s="129"/>
      <c r="B19" s="138"/>
      <c r="C19" s="30" t="s">
        <v>889</v>
      </c>
      <c r="D19" s="30" t="s">
        <v>988</v>
      </c>
      <c r="E19" s="30" t="s">
        <v>1189</v>
      </c>
      <c r="F19" s="40">
        <v>7.2794209999999998E-2</v>
      </c>
      <c r="G19" s="138"/>
      <c r="H19" s="30" t="s">
        <v>990</v>
      </c>
      <c r="I19" s="30" t="s">
        <v>1190</v>
      </c>
      <c r="J19" s="40" t="s">
        <v>247</v>
      </c>
      <c r="K19" s="138"/>
      <c r="L19" s="30" t="s">
        <v>1191</v>
      </c>
      <c r="M19" s="66" t="s">
        <v>1192</v>
      </c>
      <c r="N19" s="40" t="s">
        <v>247</v>
      </c>
      <c r="O19" s="138"/>
    </row>
    <row r="20" spans="1:16" ht="14.7" thickBot="1" x14ac:dyDescent="0.6">
      <c r="A20" s="130"/>
      <c r="B20" s="139"/>
      <c r="C20" s="46" t="s">
        <v>894</v>
      </c>
      <c r="D20" s="46" t="s">
        <v>992</v>
      </c>
      <c r="E20" s="67" t="s">
        <v>1193</v>
      </c>
      <c r="F20" s="68">
        <v>1.991662E-8</v>
      </c>
      <c r="G20" s="139"/>
      <c r="H20" s="46" t="s">
        <v>994</v>
      </c>
      <c r="I20" s="46" t="s">
        <v>1194</v>
      </c>
      <c r="J20" s="68" t="s">
        <v>247</v>
      </c>
      <c r="K20" s="139"/>
      <c r="L20" s="46" t="s">
        <v>1195</v>
      </c>
      <c r="M20" s="67" t="s">
        <v>1196</v>
      </c>
      <c r="N20" s="68" t="s">
        <v>247</v>
      </c>
      <c r="O20" s="139"/>
    </row>
    <row r="30" spans="1:16" x14ac:dyDescent="0.55000000000000004">
      <c r="A30" s="131" t="s">
        <v>876</v>
      </c>
      <c r="B30" s="131" t="s">
        <v>124</v>
      </c>
      <c r="C30" s="119" t="s">
        <v>126</v>
      </c>
      <c r="D30" s="141"/>
      <c r="E30" s="141"/>
      <c r="F30" s="142"/>
      <c r="G30" s="119" t="s">
        <v>144</v>
      </c>
      <c r="H30" s="141"/>
      <c r="I30" s="141"/>
      <c r="J30" s="142"/>
      <c r="K30" s="119" t="s">
        <v>426</v>
      </c>
      <c r="L30" s="141"/>
      <c r="M30" s="141"/>
      <c r="N30" s="142"/>
      <c r="P30" s="3" t="s">
        <v>1584</v>
      </c>
    </row>
    <row r="31" spans="1:16" ht="14.7" thickBot="1" x14ac:dyDescent="0.6">
      <c r="A31" s="130"/>
      <c r="B31" s="130"/>
      <c r="C31" s="45" t="s">
        <v>879</v>
      </c>
      <c r="D31" s="45" t="s">
        <v>880</v>
      </c>
      <c r="E31" s="45" t="s">
        <v>881</v>
      </c>
      <c r="F31" s="45" t="s">
        <v>882</v>
      </c>
      <c r="G31" s="45" t="s">
        <v>879</v>
      </c>
      <c r="H31" s="45" t="s">
        <v>880</v>
      </c>
      <c r="I31" s="45" t="s">
        <v>881</v>
      </c>
      <c r="J31" s="45" t="s">
        <v>882</v>
      </c>
      <c r="K31" s="45" t="s">
        <v>879</v>
      </c>
      <c r="L31" s="45" t="s">
        <v>880</v>
      </c>
      <c r="M31" s="45" t="s">
        <v>881</v>
      </c>
      <c r="N31" s="45" t="s">
        <v>882</v>
      </c>
    </row>
    <row r="32" spans="1:16" x14ac:dyDescent="0.55000000000000004">
      <c r="A32" s="128" t="s">
        <v>883</v>
      </c>
      <c r="B32" s="51" t="s">
        <v>265</v>
      </c>
      <c r="C32" s="5" t="s">
        <v>1031</v>
      </c>
      <c r="D32" s="51" t="s">
        <v>1197</v>
      </c>
      <c r="E32" s="69">
        <v>1.28453E-2</v>
      </c>
      <c r="F32" s="51" t="s">
        <v>1198</v>
      </c>
      <c r="G32" s="51" t="s">
        <v>1034</v>
      </c>
      <c r="H32" s="51" t="s">
        <v>1199</v>
      </c>
      <c r="I32" s="69">
        <v>4.6075820000000001E-10</v>
      </c>
      <c r="J32" s="70" t="s">
        <v>1200</v>
      </c>
      <c r="K32" s="51" t="s">
        <v>1201</v>
      </c>
      <c r="L32" s="51" t="s">
        <v>1202</v>
      </c>
      <c r="M32" s="51" t="s">
        <v>247</v>
      </c>
      <c r="N32" s="51" t="s">
        <v>1203</v>
      </c>
    </row>
    <row r="33" spans="1:14" x14ac:dyDescent="0.55000000000000004">
      <c r="A33" s="129"/>
      <c r="B33" s="30" t="s">
        <v>153</v>
      </c>
      <c r="C33" s="30" t="s">
        <v>1037</v>
      </c>
      <c r="D33" s="66" t="s">
        <v>1204</v>
      </c>
      <c r="E33" s="40">
        <v>2.2465110000000001E-6</v>
      </c>
      <c r="F33" s="66" t="s">
        <v>1205</v>
      </c>
      <c r="G33" s="30" t="s">
        <v>1040</v>
      </c>
      <c r="H33" s="30" t="s">
        <v>1206</v>
      </c>
      <c r="I33" s="40">
        <v>6.3999999999999999E-11</v>
      </c>
      <c r="J33" s="30" t="s">
        <v>1207</v>
      </c>
      <c r="K33" s="30" t="s">
        <v>1208</v>
      </c>
      <c r="L33" s="66" t="s">
        <v>1209</v>
      </c>
      <c r="M33" s="40" t="s">
        <v>247</v>
      </c>
      <c r="N33" s="66" t="s">
        <v>1210</v>
      </c>
    </row>
    <row r="34" spans="1:14" ht="14.7" thickBot="1" x14ac:dyDescent="0.6">
      <c r="A34" s="130"/>
      <c r="B34" s="54" t="s">
        <v>170</v>
      </c>
      <c r="C34" s="42" t="s">
        <v>1043</v>
      </c>
      <c r="D34" s="46" t="s">
        <v>1211</v>
      </c>
      <c r="E34" s="48">
        <v>3.6390739999999998E-2</v>
      </c>
      <c r="F34" s="46" t="s">
        <v>1212</v>
      </c>
      <c r="G34" s="46" t="s">
        <v>1046</v>
      </c>
      <c r="H34" s="67" t="s">
        <v>1213</v>
      </c>
      <c r="I34" s="48">
        <v>1.552268E-9</v>
      </c>
      <c r="J34" s="46" t="s">
        <v>1214</v>
      </c>
      <c r="K34" s="46" t="s">
        <v>1215</v>
      </c>
      <c r="L34" s="67" t="s">
        <v>1216</v>
      </c>
      <c r="M34" s="46" t="s">
        <v>247</v>
      </c>
      <c r="N34" s="67" t="s">
        <v>1217</v>
      </c>
    </row>
    <row r="35" spans="1:14" x14ac:dyDescent="0.55000000000000004">
      <c r="A35" s="128" t="s">
        <v>1218</v>
      </c>
      <c r="B35" s="51" t="s">
        <v>265</v>
      </c>
      <c r="C35" s="51" t="s">
        <v>1072</v>
      </c>
      <c r="D35" s="51" t="s">
        <v>1219</v>
      </c>
      <c r="E35" s="69">
        <v>2.9178089999999998E-14</v>
      </c>
      <c r="F35" s="51" t="s">
        <v>1220</v>
      </c>
      <c r="G35" s="51" t="s">
        <v>1074</v>
      </c>
      <c r="H35" s="51" t="s">
        <v>1221</v>
      </c>
      <c r="I35" s="51" t="s">
        <v>247</v>
      </c>
      <c r="J35" s="51" t="s">
        <v>1222</v>
      </c>
      <c r="K35" s="51" t="s">
        <v>1223</v>
      </c>
      <c r="L35" s="70" t="s">
        <v>1224</v>
      </c>
      <c r="M35" s="51" t="s">
        <v>247</v>
      </c>
      <c r="N35" s="51" t="s">
        <v>1225</v>
      </c>
    </row>
    <row r="36" spans="1:14" x14ac:dyDescent="0.55000000000000004">
      <c r="A36" s="129"/>
      <c r="B36" s="30" t="s">
        <v>153</v>
      </c>
      <c r="C36" s="30" t="s">
        <v>1077</v>
      </c>
      <c r="D36" s="30" t="s">
        <v>1226</v>
      </c>
      <c r="E36" s="30" t="s">
        <v>247</v>
      </c>
      <c r="F36" s="30" t="s">
        <v>1227</v>
      </c>
      <c r="G36" s="30" t="s">
        <v>1080</v>
      </c>
      <c r="H36" s="66" t="s">
        <v>1228</v>
      </c>
      <c r="I36" s="40" t="s">
        <v>247</v>
      </c>
      <c r="J36" s="30" t="s">
        <v>1229</v>
      </c>
      <c r="K36" s="30" t="s">
        <v>1230</v>
      </c>
      <c r="L36" s="66" t="s">
        <v>1231</v>
      </c>
      <c r="M36" s="40" t="s">
        <v>247</v>
      </c>
      <c r="N36" s="66" t="s">
        <v>1232</v>
      </c>
    </row>
    <row r="37" spans="1:14" ht="14.7" thickBot="1" x14ac:dyDescent="0.6">
      <c r="A37" s="130"/>
      <c r="B37" s="54" t="s">
        <v>170</v>
      </c>
      <c r="C37" s="54" t="s">
        <v>1083</v>
      </c>
      <c r="D37" s="46" t="s">
        <v>1233</v>
      </c>
      <c r="E37" s="48">
        <v>2.9045620000000001E-11</v>
      </c>
      <c r="F37" s="46" t="s">
        <v>1234</v>
      </c>
      <c r="G37" s="46" t="s">
        <v>1086</v>
      </c>
      <c r="H37" s="46" t="s">
        <v>1235</v>
      </c>
      <c r="I37" s="46" t="s">
        <v>247</v>
      </c>
      <c r="J37" s="46" t="s">
        <v>1236</v>
      </c>
      <c r="K37" s="46" t="s">
        <v>1237</v>
      </c>
      <c r="L37" s="46" t="s">
        <v>1238</v>
      </c>
      <c r="M37" s="46" t="s">
        <v>247</v>
      </c>
      <c r="N37" s="67" t="s">
        <v>1239</v>
      </c>
    </row>
  </sheetData>
  <mergeCells count="39">
    <mergeCell ref="O15:O17"/>
    <mergeCell ref="O18:O20"/>
    <mergeCell ref="K12:K14"/>
    <mergeCell ref="H1:K1"/>
    <mergeCell ref="K3:K5"/>
    <mergeCell ref="K6:K8"/>
    <mergeCell ref="L1:O1"/>
    <mergeCell ref="O3:O5"/>
    <mergeCell ref="O6:O8"/>
    <mergeCell ref="O9:O11"/>
    <mergeCell ref="O12:O14"/>
    <mergeCell ref="K9:K11"/>
    <mergeCell ref="K15:K17"/>
    <mergeCell ref="K18:K20"/>
    <mergeCell ref="C1:C2"/>
    <mergeCell ref="D1:G1"/>
    <mergeCell ref="G3:G5"/>
    <mergeCell ref="G6:G8"/>
    <mergeCell ref="G9:G11"/>
    <mergeCell ref="G12:G14"/>
    <mergeCell ref="G18:G20"/>
    <mergeCell ref="A32:A34"/>
    <mergeCell ref="A30:A31"/>
    <mergeCell ref="K30:N30"/>
    <mergeCell ref="C30:F30"/>
    <mergeCell ref="G30:J30"/>
    <mergeCell ref="G15:G17"/>
    <mergeCell ref="A35:A37"/>
    <mergeCell ref="A1:A2"/>
    <mergeCell ref="B30:B31"/>
    <mergeCell ref="B1:B2"/>
    <mergeCell ref="A3:A11"/>
    <mergeCell ref="B3:B5"/>
    <mergeCell ref="A12:A20"/>
    <mergeCell ref="B18:B20"/>
    <mergeCell ref="B6:B8"/>
    <mergeCell ref="B15:B17"/>
    <mergeCell ref="B9:B11"/>
    <mergeCell ref="B12:B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4A950-6E88-4FB7-82B2-DB83C77143B9}">
  <dimension ref="A1:L12"/>
  <sheetViews>
    <sheetView zoomScale="49" zoomScaleNormal="153" workbookViewId="0">
      <selection activeCell="J24" sqref="J24"/>
    </sheetView>
  </sheetViews>
  <sheetFormatPr defaultRowHeight="14.4" x14ac:dyDescent="0.55000000000000004"/>
  <cols>
    <col min="1" max="1" width="15.26171875" customWidth="1"/>
    <col min="3" max="3" width="17" customWidth="1"/>
    <col min="4" max="4" width="16.15625" customWidth="1"/>
    <col min="5" max="5" width="27.26171875" customWidth="1"/>
    <col min="6" max="6" width="27.83984375" customWidth="1"/>
    <col min="7" max="7" width="17.83984375" customWidth="1"/>
    <col min="8" max="8" width="16" customWidth="1"/>
    <col min="9" max="9" width="28.578125" customWidth="1"/>
    <col min="10" max="10" width="27.83984375" customWidth="1"/>
  </cols>
  <sheetData>
    <row r="1" spans="1:12" x14ac:dyDescent="0.55000000000000004">
      <c r="A1" s="126" t="s">
        <v>1240</v>
      </c>
      <c r="B1" s="126" t="s">
        <v>124</v>
      </c>
      <c r="C1" s="149" t="s">
        <v>1241</v>
      </c>
      <c r="D1" s="149"/>
      <c r="E1" s="149"/>
      <c r="F1" s="149"/>
      <c r="G1" s="149" t="s">
        <v>1242</v>
      </c>
      <c r="H1" s="149"/>
      <c r="I1" s="149"/>
      <c r="J1" s="149"/>
      <c r="L1" t="s">
        <v>1585</v>
      </c>
    </row>
    <row r="2" spans="1:12" ht="14.7" thickBot="1" x14ac:dyDescent="0.6">
      <c r="A2" s="148"/>
      <c r="B2" s="148"/>
      <c r="C2" s="54" t="s">
        <v>882</v>
      </c>
      <c r="D2" s="54" t="s">
        <v>1243</v>
      </c>
      <c r="E2" s="54" t="s">
        <v>1244</v>
      </c>
      <c r="F2" s="54" t="s">
        <v>1245</v>
      </c>
      <c r="G2" s="54" t="s">
        <v>882</v>
      </c>
      <c r="H2" s="54" t="s">
        <v>1243</v>
      </c>
      <c r="I2" s="54" t="s">
        <v>1244</v>
      </c>
      <c r="J2" s="54" t="s">
        <v>1245</v>
      </c>
    </row>
    <row r="3" spans="1:12" x14ac:dyDescent="0.55000000000000004">
      <c r="A3" s="55" t="s">
        <v>426</v>
      </c>
      <c r="B3" s="150" t="s">
        <v>265</v>
      </c>
      <c r="C3" s="56" t="s">
        <v>1203</v>
      </c>
      <c r="D3" s="151"/>
      <c r="E3" s="151"/>
      <c r="F3" s="151"/>
      <c r="G3" s="56" t="s">
        <v>1225</v>
      </c>
      <c r="H3" s="151"/>
      <c r="I3" s="151"/>
      <c r="J3" s="151"/>
    </row>
    <row r="4" spans="1:12" ht="14.7" thickBot="1" x14ac:dyDescent="0.6">
      <c r="A4" s="39" t="s">
        <v>1246</v>
      </c>
      <c r="B4" s="126"/>
      <c r="C4" s="54" t="s">
        <v>1247</v>
      </c>
      <c r="D4" s="149"/>
      <c r="E4" s="149"/>
      <c r="F4" s="149"/>
      <c r="G4" s="29" t="s">
        <v>1248</v>
      </c>
      <c r="H4" s="149"/>
      <c r="I4" s="149"/>
      <c r="J4" s="149"/>
    </row>
    <row r="5" spans="1:12" ht="14.7" thickBot="1" x14ac:dyDescent="0.6">
      <c r="A5" s="53" t="s">
        <v>1249</v>
      </c>
      <c r="B5" s="148"/>
      <c r="C5" s="57" t="s">
        <v>1250</v>
      </c>
      <c r="D5" s="152"/>
      <c r="E5" s="152"/>
      <c r="F5" s="152"/>
      <c r="G5" s="57" t="s">
        <v>1251</v>
      </c>
      <c r="H5" s="152"/>
      <c r="I5" s="152"/>
      <c r="J5" s="152"/>
    </row>
    <row r="6" spans="1:12" x14ac:dyDescent="0.55000000000000004">
      <c r="A6" s="55" t="s">
        <v>426</v>
      </c>
      <c r="B6" s="150" t="s">
        <v>153</v>
      </c>
      <c r="C6" s="56" t="s">
        <v>1210</v>
      </c>
      <c r="D6" s="151"/>
      <c r="E6" s="151"/>
      <c r="F6" s="151"/>
      <c r="G6" s="56" t="s">
        <v>1252</v>
      </c>
      <c r="H6" s="151"/>
      <c r="I6" s="151"/>
      <c r="J6" s="151"/>
    </row>
    <row r="7" spans="1:12" x14ac:dyDescent="0.55000000000000004">
      <c r="A7" s="39" t="s">
        <v>1246</v>
      </c>
      <c r="B7" s="126"/>
      <c r="C7" s="29" t="s">
        <v>1253</v>
      </c>
      <c r="D7" s="149"/>
      <c r="E7" s="149"/>
      <c r="F7" s="149"/>
      <c r="G7" s="29" t="s">
        <v>1254</v>
      </c>
      <c r="H7" s="149"/>
      <c r="I7" s="149"/>
      <c r="J7" s="149"/>
    </row>
    <row r="8" spans="1:12" ht="14.7" thickBot="1" x14ac:dyDescent="0.6">
      <c r="A8" s="53" t="s">
        <v>1249</v>
      </c>
      <c r="B8" s="148"/>
      <c r="C8" s="54" t="s">
        <v>1255</v>
      </c>
      <c r="D8" s="152"/>
      <c r="E8" s="152"/>
      <c r="F8" s="152"/>
      <c r="G8" s="54" t="s">
        <v>1256</v>
      </c>
      <c r="H8" s="152"/>
      <c r="I8" s="152"/>
      <c r="J8" s="152"/>
    </row>
    <row r="9" spans="1:12" ht="14.7" thickBot="1" x14ac:dyDescent="0.6">
      <c r="A9" s="55" t="s">
        <v>426</v>
      </c>
      <c r="B9" s="150" t="s">
        <v>170</v>
      </c>
      <c r="C9" s="56" t="s">
        <v>1217</v>
      </c>
      <c r="D9" s="151"/>
      <c r="E9" s="151"/>
      <c r="F9" s="151"/>
      <c r="G9" s="56" t="s">
        <v>1239</v>
      </c>
      <c r="H9" s="151"/>
      <c r="I9" s="151"/>
      <c r="J9" s="151"/>
    </row>
    <row r="10" spans="1:12" x14ac:dyDescent="0.55000000000000004">
      <c r="A10" s="39" t="s">
        <v>1246</v>
      </c>
      <c r="B10" s="126"/>
      <c r="C10" s="56" t="s">
        <v>1257</v>
      </c>
      <c r="D10" s="149"/>
      <c r="E10" s="149"/>
      <c r="F10" s="149"/>
      <c r="G10" s="29" t="s">
        <v>1258</v>
      </c>
      <c r="H10" s="149"/>
      <c r="I10" s="149"/>
      <c r="J10" s="149"/>
    </row>
    <row r="11" spans="1:12" ht="14.7" thickBot="1" x14ac:dyDescent="0.6">
      <c r="A11" s="53" t="s">
        <v>1249</v>
      </c>
      <c r="B11" s="148"/>
      <c r="C11" s="54" t="s">
        <v>1259</v>
      </c>
      <c r="D11" s="152"/>
      <c r="E11" s="152"/>
      <c r="F11" s="152"/>
      <c r="G11" s="54" t="s">
        <v>1260</v>
      </c>
      <c r="H11" s="152"/>
      <c r="I11" s="152"/>
      <c r="J11" s="152"/>
    </row>
    <row r="12" spans="1:12" x14ac:dyDescent="0.55000000000000004">
      <c r="C12" s="5"/>
      <c r="D12" s="5"/>
      <c r="E12" s="5"/>
      <c r="F12" s="5"/>
      <c r="G12" s="5"/>
      <c r="H12" s="5"/>
      <c r="I12" s="5"/>
      <c r="J12" s="5"/>
    </row>
  </sheetData>
  <mergeCells count="25">
    <mergeCell ref="F9:F11"/>
    <mergeCell ref="F6:F8"/>
    <mergeCell ref="F3:F5"/>
    <mergeCell ref="H9:H11"/>
    <mergeCell ref="H6:H8"/>
    <mergeCell ref="H3:H5"/>
    <mergeCell ref="J9:J11"/>
    <mergeCell ref="J6:J8"/>
    <mergeCell ref="J3:J5"/>
    <mergeCell ref="I9:I11"/>
    <mergeCell ref="I6:I8"/>
    <mergeCell ref="I3:I5"/>
    <mergeCell ref="B6:B8"/>
    <mergeCell ref="B9:B11"/>
    <mergeCell ref="E3:E5"/>
    <mergeCell ref="E6:E8"/>
    <mergeCell ref="E9:E11"/>
    <mergeCell ref="D9:D11"/>
    <mergeCell ref="D6:D8"/>
    <mergeCell ref="D3:D5"/>
    <mergeCell ref="A1:A2"/>
    <mergeCell ref="B1:B2"/>
    <mergeCell ref="C1:F1"/>
    <mergeCell ref="G1:J1"/>
    <mergeCell ref="B3:B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 of contents</vt:lpstr>
      <vt:lpstr>ST4.1_Cohort characteristics</vt:lpstr>
      <vt:lpstr>ST4.2_4.3_BMA dist+multi-site</vt:lpstr>
      <vt:lpstr>ST4.4_Missing BMD data analysis</vt:lpstr>
      <vt:lpstr>ST4.5_4.6_T2D logs</vt:lpstr>
      <vt:lpstr>ST4.7_T2D logs BMD imp v no imp</vt:lpstr>
      <vt:lpstr>ST4.8_BMFF multi-site lin.regs.</vt:lpstr>
      <vt:lpstr>ST4.9_4.10_T2D Cox regressions</vt:lpstr>
      <vt:lpstr>ST4.11_4.12_T2D WHR Cox regs.</vt:lpstr>
      <vt:lpstr>ST4.13_T2D WHR Cox model comp.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Sjostrom</dc:creator>
  <cp:keywords/>
  <dc:description/>
  <cp:lastModifiedBy>Samuel Sjostrom</cp:lastModifiedBy>
  <cp:revision/>
  <dcterms:created xsi:type="dcterms:W3CDTF">2025-11-24T17:51:59Z</dcterms:created>
  <dcterms:modified xsi:type="dcterms:W3CDTF">2026-07-22T09:51:43Z</dcterms:modified>
  <cp:category/>
  <cp:contentStatus/>
</cp:coreProperties>
</file>