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uoe-my.sharepoint.com/personal/s2456042_ed_ac_uk/Documents/"/>
    </mc:Choice>
  </mc:AlternateContent>
  <xr:revisionPtr revIDLastSave="53" documentId="8_{16DF8B39-44E3-4E36-8053-BD904AA3BE93}" xr6:coauthVersionLast="47" xr6:coauthVersionMax="47" xr10:uidLastSave="{831E6694-5FDD-4DAC-A8F5-E771C99E0915}"/>
  <bookViews>
    <workbookView minimized="1" xWindow="3702" yWindow="4428" windowWidth="11178" windowHeight="6000" activeTab="3" xr2:uid="{A6212A87-CD30-4C4E-910F-3AA2BAE7017E}"/>
  </bookViews>
  <sheets>
    <sheet name="Table of contents" sheetId="3" r:id="rId1"/>
    <sheet name="ST 3.1, 3.2, 3.3, 3.4" sheetId="2" r:id="rId2"/>
    <sheet name="ST 3.5" sheetId="4" r:id="rId3"/>
    <sheet name="ST 3.6, 3.7" sheetId="5" r:id="rId4"/>
    <sheet name="ST_3.8"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26" i="5" l="1"/>
  <c r="H24" i="5"/>
  <c r="H22" i="5"/>
  <c r="H20" i="5"/>
  <c r="H18" i="5"/>
  <c r="H16" i="5"/>
  <c r="H14" i="5"/>
  <c r="H12" i="5"/>
  <c r="H10" i="5"/>
  <c r="H8" i="5"/>
  <c r="H6" i="5"/>
  <c r="H28" i="5" s="1"/>
  <c r="H4" i="5"/>
  <c r="H27" i="5" s="1"/>
  <c r="H2" i="5"/>
</calcChain>
</file>

<file path=xl/sharedStrings.xml><?xml version="1.0" encoding="utf-8"?>
<sst xmlns="http://schemas.openxmlformats.org/spreadsheetml/2006/main" count="1505" uniqueCount="654">
  <si>
    <t>Sheets (title)</t>
  </si>
  <si>
    <t>Supplementary table number</t>
  </si>
  <si>
    <t>Description</t>
  </si>
  <si>
    <t>1 (ST 3.1, 3.2, 3.3, 3.4)</t>
  </si>
  <si>
    <t>Supplementary Tables 3.1, 3.2, 3.3 and 3.4</t>
  </si>
  <si>
    <t>Results from analyses carried out to assess the mechanisms of missing BMFF data and voxel outliers</t>
  </si>
  <si>
    <t>2 (ST 3.5)</t>
  </si>
  <si>
    <t>Supplementary Table 3.5</t>
  </si>
  <si>
    <t>Results from the assessment of missing BMD-data derived from DXA scans</t>
  </si>
  <si>
    <t>3 (ST 3.6, 3.7)</t>
  </si>
  <si>
    <t>Supplementary Tables 3.6 and 3.7</t>
  </si>
  <si>
    <t>Linear and logistic regressions between regional BMFF and BMD and osteoporosis, respectively</t>
  </si>
  <si>
    <t>Supplementary Table 3.8</t>
  </si>
  <si>
    <t>List of hormone replacement therapies</t>
  </si>
  <si>
    <t>BMFF region</t>
  </si>
  <si>
    <t>Batch 1 (n=31,951)</t>
  </si>
  <si>
    <t>Batch 2 (n=19,446 )</t>
  </si>
  <si>
    <t>Batches 1+2 (n=51,397)</t>
  </si>
  <si>
    <t>Males (n=15,448)</t>
  </si>
  <si>
    <t>Females (n=16,503)</t>
  </si>
  <si>
    <t>p</t>
  </si>
  <si>
    <t>Males (n=9,345)</t>
  </si>
  <si>
    <t>Females (n=10,101)</t>
  </si>
  <si>
    <t>Males (n=24,793)</t>
  </si>
  <si>
    <t>Females (n=26,604)</t>
  </si>
  <si>
    <r>
      <rPr>
        <b/>
        <sz val="11"/>
        <color theme="1"/>
        <rFont val="Aptos Narrow"/>
        <family val="2"/>
        <scheme val="minor"/>
      </rPr>
      <t>Supplementary Table 3.1: BMFF missing data.</t>
    </r>
    <r>
      <rPr>
        <sz val="11"/>
        <color theme="1"/>
        <rFont val="Aptos Narrow"/>
        <family val="2"/>
        <scheme val="minor"/>
      </rPr>
      <t xml:space="preserve"> The number of missing/non-missing BMFF data entries for the spine, femoral had, total hip and diaphysis (and % of missing data for the total number of data entries [missing + non-missing] per region after merging all four data frames together by the common eid numbers whilst retaining all missing values from the merge) are shown in males and females separately in batches 1, 2 and 1+2. The 'p' column contains the p-values from the </t>
    </r>
    <r>
      <rPr>
        <i/>
        <sz val="11"/>
        <color theme="1"/>
        <rFont val="Aptos Narrow"/>
        <family val="2"/>
        <scheme val="minor"/>
      </rPr>
      <t>X</t>
    </r>
    <r>
      <rPr>
        <i/>
        <vertAlign val="superscript"/>
        <sz val="11"/>
        <color theme="1"/>
        <rFont val="Aptos Narrow"/>
        <family val="2"/>
        <scheme val="minor"/>
      </rPr>
      <t>2</t>
    </r>
    <r>
      <rPr>
        <sz val="11"/>
        <color theme="1"/>
        <rFont val="Aptos Narrow"/>
        <family val="2"/>
        <scheme val="minor"/>
      </rPr>
      <t xml:space="preserve"> test carried out between the number of missing values (categorised as 'Complete' or 'Missing') and sex.</t>
    </r>
  </si>
  <si>
    <t>Spine</t>
  </si>
  <si>
    <t>84/15364 (0.54%)</t>
  </si>
  <si>
    <t>150/16353 (0.91%)</t>
  </si>
  <si>
    <t>&lt;2e-16</t>
  </si>
  <si>
    <t>248/9097 (2.65%)</t>
  </si>
  <si>
    <t>286/9815 (2.83%)</t>
  </si>
  <si>
    <t>332/24461 (1.34%)</t>
  </si>
  <si>
    <t>436/26168 (1.64%)</t>
  </si>
  <si>
    <t>Femoral head</t>
  </si>
  <si>
    <t>1545/13903 (10.0%)</t>
  </si>
  <si>
    <t>607/15896 (3.67%)</t>
  </si>
  <si>
    <t>1277/8068 (13.7%)</t>
  </si>
  <si>
    <t>665/9436 (6.58%)</t>
  </si>
  <si>
    <t>2822/21971 (11.4%)</t>
  </si>
  <si>
    <t>1272/25332 (4.78%)</t>
  </si>
  <si>
    <t>Total hip</t>
  </si>
  <si>
    <t>2207/13241 (14.3%)</t>
  </si>
  <si>
    <t>587/15916 (3.55%)</t>
  </si>
  <si>
    <t>1242/8103 (13.3%)</t>
  </si>
  <si>
    <t>257/9844 (2.54%)</t>
  </si>
  <si>
    <t>3449/21344 (13.9%)</t>
  </si>
  <si>
    <t>844/25760 (3.17%)</t>
  </si>
  <si>
    <t>Diaphysis</t>
  </si>
  <si>
    <t>2039/13409 (13.2%)</t>
  </si>
  <si>
    <t>576/15927 (3.49%)</t>
  </si>
  <si>
    <t>1712/7633 (18.3%)</t>
  </si>
  <si>
    <t>581/9520 (5.75%)</t>
  </si>
  <si>
    <t>3751/21042 (15.129)</t>
  </si>
  <si>
    <t>1157/25447 (4.349)</t>
  </si>
  <si>
    <r>
      <rPr>
        <b/>
        <sz val="11"/>
        <color theme="1"/>
        <rFont val="Aptos Narrow"/>
        <family val="2"/>
        <scheme val="minor"/>
      </rPr>
      <t xml:space="preserve">Supplementary Table 3.2: BMFF voxel outlier data. </t>
    </r>
    <r>
      <rPr>
        <sz val="11"/>
        <color theme="1"/>
        <rFont val="Aptos Narrow"/>
        <family val="2"/>
        <scheme val="minor"/>
      </rPr>
      <t xml:space="preserve">The number of voxel outliers/non-outliers for the spine, femoral had, total hip and diaphysis (and % of voxel outliers for the total number of data entries [outliers + non-outliers] per region after merging all four data frames together by the common eid numbers whilst retaining all missing values from the merge) are shown in males and females separately in batches 1, 2 and 1+2. The 'p' column contains the p-values from the </t>
    </r>
    <r>
      <rPr>
        <i/>
        <sz val="11"/>
        <color theme="1"/>
        <rFont val="Aptos Narrow"/>
        <family val="2"/>
        <scheme val="minor"/>
      </rPr>
      <t>X</t>
    </r>
    <r>
      <rPr>
        <i/>
        <vertAlign val="superscript"/>
        <sz val="11"/>
        <color theme="1"/>
        <rFont val="Aptos Narrow"/>
        <family val="2"/>
        <scheme val="minor"/>
      </rPr>
      <t>2</t>
    </r>
    <r>
      <rPr>
        <sz val="11"/>
        <color theme="1"/>
        <rFont val="Aptos Narrow"/>
        <family val="2"/>
        <scheme val="minor"/>
      </rPr>
      <t xml:space="preserve"> test carried out between the number of voxel outliers (categorised as 'Non_outliers' or 'Outliers') and sex.</t>
    </r>
  </si>
  <si>
    <t>166/15203 (1.08%)</t>
  </si>
  <si>
    <t>166/16196 (1.02%)</t>
  </si>
  <si>
    <t>67/9030 (0.74%)</t>
  </si>
  <si>
    <t>36/9779 (0.37%)</t>
  </si>
  <si>
    <t>233/24233 (0.95%)</t>
  </si>
  <si>
    <t>202/25975 (0.77%)</t>
  </si>
  <si>
    <t>214/13760 (1.53%)</t>
  </si>
  <si>
    <t>139/15811 (0.87%)</t>
  </si>
  <si>
    <t>21/8048 (0.26%)</t>
  </si>
  <si>
    <t>49/9396 (0.52%)</t>
  </si>
  <si>
    <t>235/21808 (1.07%)</t>
  </si>
  <si>
    <t>188/25207 (0.74%)</t>
  </si>
  <si>
    <t>35/13219 (0.26%)</t>
  </si>
  <si>
    <t>7/15909 (0.04%)</t>
  </si>
  <si>
    <t>218/7984 (2.66%)</t>
  </si>
  <si>
    <t>45/9811 (0.46%)</t>
  </si>
  <si>
    <t>253/21203 (1.18%)</t>
  </si>
  <si>
    <t>52/25720 (0.20%)</t>
  </si>
  <si>
    <t>412/13000 (3.07%)</t>
  </si>
  <si>
    <t>133/15798 (0.84%)</t>
  </si>
  <si>
    <t>215/7418 (2.82%)</t>
  </si>
  <si>
    <t>75/9446 (0.79%)</t>
  </si>
  <si>
    <t>627/20418 (2.98%)</t>
  </si>
  <si>
    <t>208/25244 (0.82%)</t>
  </si>
  <si>
    <t>Outcome</t>
  </si>
  <si>
    <t>Sex</t>
  </si>
  <si>
    <t xml:space="preserve">Batch 1 </t>
  </si>
  <si>
    <t>Batch 2</t>
  </si>
  <si>
    <t>Batches 1+ 2</t>
  </si>
  <si>
    <t>OR (95% CI)</t>
  </si>
  <si>
    <r>
      <rPr>
        <b/>
        <sz val="11"/>
        <color theme="1"/>
        <rFont val="Aptos Narrow"/>
        <family val="2"/>
        <scheme val="minor"/>
      </rPr>
      <t>Supplementary Table 3.3: Results from logistic regressions between missing BMFF data and voxel outliers and height and weight.</t>
    </r>
    <r>
      <rPr>
        <sz val="11"/>
        <color theme="1"/>
        <rFont val="Aptos Narrow"/>
        <family val="2"/>
        <scheme val="minor"/>
      </rPr>
      <t xml:space="preserve"> The summary statistics from the univariate logistic regressions between missing BMFF data points (categorised as 'Complete' or 'Missing') and voxel outliers (Categorised as 'Non_outliers' and 'Outliers') for each skeletal region and height (cm) and weight are shown in males and females. The 'n' column contains the number of missing values or voxel outliers / number of non-missing values or non-voxel outliers, the 'OR (95% CI)' column contains the odds ratio (95% confidence interval) of missing data/voxel outliers per unit change (cm) in height and the 'p' column contains the p-values. All regressions were conducted in batch 1, batch 2 and batches 1 and 2 combined in both sexes and separately in males and females. Bonferroni significance threshold adjusted for multiple comparison is 0.05/4 (number of regional BMFF comparisons) = 0.0125.</t>
    </r>
  </si>
  <si>
    <t>Height</t>
  </si>
  <si>
    <t>Missing BMFF data</t>
  </si>
  <si>
    <t>Females</t>
  </si>
  <si>
    <t>0.984 (0.959, 1.009)</t>
  </si>
  <si>
    <t>0.984 (0.967, 1.002)</t>
  </si>
  <si>
    <t>0.983 (0.969, 0.998)</t>
  </si>
  <si>
    <t>Males</t>
  </si>
  <si>
    <t>1.047 (1.014, 1.081)</t>
  </si>
  <si>
    <t>0.979 (0.960, 0.997)</t>
  </si>
  <si>
    <t>0.992 (0.976, 1.009)</t>
  </si>
  <si>
    <t>0.953 (0.941, 0.966)</t>
  </si>
  <si>
    <t>0.963 (0.951, 0.975)</t>
  </si>
  <si>
    <t>0.958 (0.949, 0.966)</t>
  </si>
  <si>
    <t>1.104 (1.095, 1.113)</t>
  </si>
  <si>
    <t>1.079 (1.069, 1.089)</t>
  </si>
  <si>
    <t>1.091 (1.085, 1.098)</t>
  </si>
  <si>
    <t>1.081 (1.068, 1.095)</t>
  </si>
  <si>
    <t>1.099 (1.079, 1.120)</t>
  </si>
  <si>
    <t>1.087 (1.076, 1.098)</t>
  </si>
  <si>
    <t>1.153 (1.144, 1.162)</t>
  </si>
  <si>
    <t>1.137 (1.125, 1.149)</t>
  </si>
  <si>
    <t>1.147 (1.140, 1.154)</t>
  </si>
  <si>
    <t>0.980 (0.967, 0.993)</t>
  </si>
  <si>
    <t>0.970 (0.958, 0.983)</t>
  </si>
  <si>
    <t>0.974 (0.965, 0.983)</t>
  </si>
  <si>
    <t>1.090 (1.082, 1.098)</t>
  </si>
  <si>
    <t>1.065 (1.056, 1.074)</t>
  </si>
  <si>
    <t>1.077 (1.072, 1.083)</t>
  </si>
  <si>
    <t>Voxel outliers</t>
  </si>
  <si>
    <t>1.010 (0.987, 1.035)</t>
  </si>
  <si>
    <t>1.014 (0.965, 1.066)</t>
  </si>
  <si>
    <t>1.012 (0.990, 1.033)</t>
  </si>
  <si>
    <t>1.000 (0.977, 1.023)</t>
  </si>
  <si>
    <t>1.009 (0.973, 1.046)</t>
  </si>
  <si>
    <t>1.003 (0.984, 1.023)</t>
  </si>
  <si>
    <t>0.869 (0.844, 0.893)</t>
  </si>
  <si>
    <t>0.885 (0.850, 0.922)</t>
  </si>
  <si>
    <t>0.876 (0.856, 0.896)</t>
  </si>
  <si>
    <t>1.094 (1.072, 1.117)</t>
  </si>
  <si>
    <t>1.127 (1.055, 1.204)</t>
  </si>
  <si>
    <t>1.101 (1.079, 1.123)</t>
  </si>
  <si>
    <t>1.156 (1.049, 1.273)</t>
  </si>
  <si>
    <t>1.088 (1.041, 1.136)</t>
  </si>
  <si>
    <t>1.098 (1.055, 1.143)</t>
  </si>
  <si>
    <t>1.096 (1.041, 1.155)</t>
  </si>
  <si>
    <t>1.103 (1.080, 1.127)</t>
  </si>
  <si>
    <t>1.098 (1.076, 1.119)</t>
  </si>
  <si>
    <t>1.004 (0.977, 1.031)</t>
  </si>
  <si>
    <t>0.965 (0.932, 1.000)</t>
  </si>
  <si>
    <t>0.989 (0.968, 1.011)</t>
  </si>
  <si>
    <t>1.096 (1.080, 1.113)</t>
  </si>
  <si>
    <t>1.074 (1.052, 1.097)</t>
  </si>
  <si>
    <t>1.089 (1.076, 1.102)</t>
  </si>
  <si>
    <t>Weight</t>
  </si>
  <si>
    <t>0.952 (0.936, 0.968)</t>
  </si>
  <si>
    <t>0.974 (0.964, 0.984)</t>
  </si>
  <si>
    <t>0.967 (0.958, 0.975)</t>
  </si>
  <si>
    <t>0.985 (0.968, 1.003)</t>
  </si>
  <si>
    <t>0.988 (0.978, 0.998)</t>
  </si>
  <si>
    <t>0.987 (0.978, 0.995)</t>
  </si>
  <si>
    <t>0.973 (0.966, 0.981)</t>
  </si>
  <si>
    <t>0.980 (0.974, 0.987)</t>
  </si>
  <si>
    <t>0.977 (0.972, 0.982)</t>
  </si>
  <si>
    <t>0.995 (0.991, 0.999)</t>
  </si>
  <si>
    <t>1.005 (1.000, 1.009)</t>
  </si>
  <si>
    <t>0.999 (0.996, 1.002)</t>
  </si>
  <si>
    <t>1.034 (1.029, 1.039)</t>
  </si>
  <si>
    <t>1.045 (1.037, 1.052)</t>
  </si>
  <si>
    <t>1.037 (1.033, 1.042)</t>
  </si>
  <si>
    <t>1.041 (1.037, 1.044)</t>
  </si>
  <si>
    <t>1.044 (1.039, 1.048)</t>
  </si>
  <si>
    <t>1.042 (1.039, 1.044)</t>
  </si>
  <si>
    <t>0.994 (0.987, 1.001)</t>
  </si>
  <si>
    <t>0.990 (0.983, 0.996)</t>
  </si>
  <si>
    <t>0.992 (0.987, 0.997)</t>
  </si>
  <si>
    <t>0.994 (0.990, 0.998)</t>
  </si>
  <si>
    <t>0.997 (0.993, 1.001)</t>
  </si>
  <si>
    <t>0.995 (0.992, 0.998)</t>
  </si>
  <si>
    <t>0.980 (0.967, 0.994)</t>
  </si>
  <si>
    <t>1.017 (0.995, 1.040)</t>
  </si>
  <si>
    <t>0.989 (0.977, 1.000)</t>
  </si>
  <si>
    <t>0.944 (0.930, 0.958)</t>
  </si>
  <si>
    <t>0.928 (0.905, 0.950)</t>
  </si>
  <si>
    <t>0.940 (0.928, 0.952)</t>
  </si>
  <si>
    <t>0.958 (0.942, 0.974)</t>
  </si>
  <si>
    <t>0.945 (0.918, 0.973)</t>
  </si>
  <si>
    <t>0.955 (0.941, 0.969)</t>
  </si>
  <si>
    <t>1.007 (0.996, 1.017)</t>
  </si>
  <si>
    <t>1.036 (1.007, 1.065)</t>
  </si>
  <si>
    <t>1.011 (1.001, 1.020)</t>
  </si>
  <si>
    <t>0.999 (0.941, 1.060)</t>
  </si>
  <si>
    <t>1.025 (1.006, 1.045)</t>
  </si>
  <si>
    <t>1.023 (1.005, 1.042)</t>
  </si>
  <si>
    <t>0.984 (0.957, 1.013)</t>
  </si>
  <si>
    <t>1.023 (1.013, 1.033)</t>
  </si>
  <si>
    <t>1.017 (1.008, 1.027)</t>
  </si>
  <si>
    <t>1.040 (1.030, 1.050)</t>
  </si>
  <si>
    <t>1.024 (1.009, 1.040)</t>
  </si>
  <si>
    <t>1.035 (1.027, 1.044)</t>
  </si>
  <si>
    <t>1.012 (1.005, 1.020)</t>
  </si>
  <si>
    <t>1.016 (1.006, 1.026)</t>
  </si>
  <si>
    <t>1.014 (1.008, 1.019)</t>
  </si>
  <si>
    <r>
      <t xml:space="preserve">Median  </t>
    </r>
    <r>
      <rPr>
        <b/>
        <sz val="11"/>
        <color theme="1"/>
        <rFont val="Aptos Narrow"/>
        <family val="2"/>
      </rPr>
      <t>± 1/2 IQR</t>
    </r>
    <r>
      <rPr>
        <b/>
        <sz val="11"/>
        <color theme="1"/>
        <rFont val="Aptos Narrow"/>
        <family val="2"/>
        <scheme val="minor"/>
      </rPr>
      <t xml:space="preserve"> (median - 1/2IQR vs median + 1/2 IQR)</t>
    </r>
  </si>
  <si>
    <t>Median - 3IQR (median vs median - 3*IQR)</t>
  </si>
  <si>
    <t>Median - 2IQR (median vs median - 2*IQR)</t>
  </si>
  <si>
    <t>Median - IQR (median vs median - IQR)</t>
  </si>
  <si>
    <t>Median + IQR (median vs median + IQR)</t>
  </si>
  <si>
    <t>Median + 2IQR (median vs median + 2IQR)</t>
  </si>
  <si>
    <t>Median + 3IQR (median vs median + 3IQR)</t>
  </si>
  <si>
    <t>Median + maximum (median vs maximum)</t>
  </si>
  <si>
    <t>p (non-linearity)</t>
  </si>
  <si>
    <r>
      <t xml:space="preserve">Supplementary Table 3.4  Results from interquartile-range stratified resitricted cubic splines logistic regressions between missing BMFF data and voxel outliers and height and weight. </t>
    </r>
    <r>
      <rPr>
        <sz val="11"/>
        <color theme="1"/>
        <rFont val="Aptos Narrow"/>
        <family val="2"/>
        <scheme val="minor"/>
      </rPr>
      <t xml:space="preserve">The summary staistics (odds ratios [95% CI] and p-values) from the resitrcted cubic spline logistic regressions conducted between height and weight (as two separate exposures) and BMFF data missingness and voxel outliers (two separate outcomes) are shown for each IQR-stratified range of the exposure. The base model (median </t>
    </r>
    <r>
      <rPr>
        <sz val="11"/>
        <color theme="1"/>
        <rFont val="Aptos Narrow"/>
        <family val="2"/>
      </rPr>
      <t>± 1/2IQR) also includes the non-linearity p-value which indicates whether the relationship between the outcome and exposure is linear or not; p&lt;0.05 suggests a non-linear association).</t>
    </r>
    <r>
      <rPr>
        <b/>
        <sz val="11"/>
        <color theme="1"/>
        <rFont val="Aptos Narrow"/>
        <family val="2"/>
        <scheme val="minor"/>
      </rPr>
      <t xml:space="preserve"> </t>
    </r>
    <r>
      <rPr>
        <sz val="11"/>
        <color theme="1"/>
        <rFont val="Aptos Narrow"/>
        <family val="2"/>
        <scheme val="minor"/>
      </rPr>
      <t xml:space="preserve">Note that the lowest p-value threshold for the non-linearity test reported by the rms::anova function (which performs a Wald χ2 test) is 1E-04, hence, any p-value below that threshold are not explicitly shown. Summary statistics are not available for median + maximum and median -3IQR for height and weight, respectively, due to the way in which the height and weight ranges were stratified (see 3.3.2 in the main text). </t>
    </r>
  </si>
  <si>
    <t>0.867 (0.669, 1.123)</t>
  </si>
  <si>
    <t>1.960 (0.698, 5.509)</t>
  </si>
  <si>
    <t>1.96 (0.698, 5.509)</t>
  </si>
  <si>
    <t>1.456 (0.845, 2.509)</t>
  </si>
  <si>
    <t>1.083 (0.815, 1.441)</t>
  </si>
  <si>
    <t>0.804 (0.594, 1.087)</t>
  </si>
  <si>
    <t>0.770 (0.386, 1.535)</t>
  </si>
  <si>
    <t>0.77 (0.386, 1.535)</t>
  </si>
  <si>
    <t>0.737 (0.210, 2.588)</t>
  </si>
  <si>
    <t>0.737 (0.21, 2.588)</t>
  </si>
  <si>
    <t xml:space="preserve">- </t>
  </si>
  <si>
    <t>-</t>
  </si>
  <si>
    <t>0.858 (0.638, 1.154)</t>
  </si>
  <si>
    <t>1.053 (0.301, 3.694)</t>
  </si>
  <si>
    <t>1.053 (0.3, 3.694)</t>
  </si>
  <si>
    <t>0.951 (0.483, 1.871)</t>
  </si>
  <si>
    <t>0.860 (0.622, 1.191)</t>
  </si>
  <si>
    <t>0.86 (0.622, 1.191)</t>
  </si>
  <si>
    <t>0.727 (0.513, 1.029)</t>
  </si>
  <si>
    <t>0.824 (0.412, 1.648)</t>
  </si>
  <si>
    <t>0.939 (0.254, 3.469)</t>
  </si>
  <si>
    <t>0.727 (0.622, 0.850)</t>
  </si>
  <si>
    <t>&lt;1E-04</t>
  </si>
  <si>
    <t>22.29 (13.97, 35.55)</t>
  </si>
  <si>
    <t>22.288 (13.974, 35.547)</t>
  </si>
  <si>
    <t>5.943 (4.634, 7.622)</t>
  </si>
  <si>
    <t>1.597 (1.346, 1.894)</t>
  </si>
  <si>
    <t>0.948 (0.789, 1.138)</t>
  </si>
  <si>
    <t>2.002 (1.469, 2.730)</t>
  </si>
  <si>
    <t>2.002 (1.469, 2.73)</t>
  </si>
  <si>
    <t>4.235 (2.435, 7.367)</t>
  </si>
  <si>
    <t>2.499 (2.232, 2.796)</t>
  </si>
  <si>
    <t>1.322 (0.762, 2.293)</t>
  </si>
  <si>
    <t>0.901 (0.669, 1.214)</t>
  </si>
  <si>
    <t>0.619 (0.538, 0.712)</t>
  </si>
  <si>
    <t>2.474 (2.196, 2.787)</t>
  </si>
  <si>
    <t>6.879 (5.781, 8.185)</t>
  </si>
  <si>
    <t>19.15 (13.88, 26.41)</t>
  </si>
  <si>
    <t>19.151 (13.885, 26.415)</t>
  </si>
  <si>
    <t>2.483 (2.027, 3.039)</t>
  </si>
  <si>
    <t>10.42 (5.149, 21.10)</t>
  </si>
  <si>
    <t>10.424 (5.149, 21.1)</t>
  </si>
  <si>
    <t>2.890 (1.976, 4.225)</t>
  </si>
  <si>
    <t>2.89 (1.976, 4.225)</t>
  </si>
  <si>
    <t>0.811 (0.630, 1.043)</t>
  </si>
  <si>
    <t>0.811 (0.63, 1.043)</t>
  </si>
  <si>
    <t>2.842 (2.317, 3.485)</t>
  </si>
  <si>
    <t>9.141 (7.054, 11.84)</t>
  </si>
  <si>
    <t>9.141 (7.054, 11.846)</t>
  </si>
  <si>
    <t>29.41 (19.02, 45.47)</t>
  </si>
  <si>
    <t>29.41 (19.02, 45.475)</t>
  </si>
  <si>
    <t>4.308 (3.821, 4.857)</t>
  </si>
  <si>
    <t>0.135 (0.057, 0.324)</t>
  </si>
  <si>
    <t>0.198 (0.123, 0.318)</t>
  </si>
  <si>
    <t>0.292 (0.248, 0.343)</t>
  </si>
  <si>
    <t>3.351 (3.004, 3.738)</t>
  </si>
  <si>
    <t>10.53 (8.921, 12.44)</t>
  </si>
  <si>
    <t>10.538 (8.921, 12.447)</t>
  </si>
  <si>
    <t>33.14 (24.29, 45.22)</t>
  </si>
  <si>
    <t>33.145 (24.293, 45.222)</t>
  </si>
  <si>
    <t>0.976 (0.831, 1.147)</t>
  </si>
  <si>
    <t>11.61 (6.932, 19.45)</t>
  </si>
  <si>
    <t>11.613 (6.932, 19.456)</t>
  </si>
  <si>
    <t>3.714 (2.822, 4.888)</t>
  </si>
  <si>
    <t>1.198 (1.002, 1.432)</t>
  </si>
  <si>
    <t>0.911 (0.756, 1.097)</t>
  </si>
  <si>
    <t>1.211 (0.837, 1.754)</t>
  </si>
  <si>
    <t>1.612 (0.825, 3.150)</t>
  </si>
  <si>
    <t>1.612 (0.825, 3.15)</t>
  </si>
  <si>
    <t>2.232 (2.023, 2.462)</t>
  </si>
  <si>
    <t>0.647 (0.384, 1.092)</t>
  </si>
  <si>
    <t>0.593 (0.447, 0.786)</t>
  </si>
  <si>
    <t>0.546 (0.484, 0.616)</t>
  </si>
  <si>
    <t>1.967 (1.771, 2.184)</t>
  </si>
  <si>
    <t>4.282 (3.623, 5.061)</t>
  </si>
  <si>
    <t>9.335 (6.831, 12.75)</t>
  </si>
  <si>
    <t>9.335 (6.831, 12.757)</t>
  </si>
  <si>
    <t>1.166 (0.794, 1.711)</t>
  </si>
  <si>
    <t>0.443 (0.055, 3.570)</t>
  </si>
  <si>
    <t>0.443 (0.055, 3.57)</t>
  </si>
  <si>
    <t>0.549 (0.183, 1.645)</t>
  </si>
  <si>
    <t>0.681 (0.438, 1.058)</t>
  </si>
  <si>
    <t>0.854 (0.562, 1.298)</t>
  </si>
  <si>
    <t>0.802 (0.315, 2.043)</t>
  </si>
  <si>
    <t>0.753 (0.137, 4.135)</t>
  </si>
  <si>
    <t xml:space="preserve"> 1.029 (0.727, 1.457)</t>
  </si>
  <si>
    <t>0.624 (0.115, 3.396)</t>
  </si>
  <si>
    <t>0.717 (0.288, 1.786)</t>
  </si>
  <si>
    <t>0.823 (0.553, 1.227)</t>
  </si>
  <si>
    <t>0.881 (0.588, 1.321)</t>
  </si>
  <si>
    <t>0.783 (0.337, 1.818)</t>
  </si>
  <si>
    <t>0.696 (0.142, 3.413)</t>
  </si>
  <si>
    <t>0.219 (0.133, 0.360)</t>
  </si>
  <si>
    <t>31.04 (14.89, 64.71)</t>
  </si>
  <si>
    <t>31.043 (14.893, 64.706)</t>
  </si>
  <si>
    <t>11.32 (7.03, 18.254)</t>
  </si>
  <si>
    <t>11.328 (7.03, 18.254)</t>
  </si>
  <si>
    <t>4.091 (2.573, 6.506)</t>
  </si>
  <si>
    <t>0.611 (0.318, 1.175)</t>
  </si>
  <si>
    <t>1.292 (0.508, 3.281)</t>
  </si>
  <si>
    <t>2.762 (0.523, 14.58)</t>
  </si>
  <si>
    <t>2.762 (0.523, 14.588)</t>
  </si>
  <si>
    <t>2.243 (1.563, 3.218)</t>
  </si>
  <si>
    <t>2.308 (0.436, 12.22)</t>
  </si>
  <si>
    <t>2.308 (0.436, 12.215)</t>
  </si>
  <si>
    <t>1.407 (0.577, 3.432)</t>
  </si>
  <si>
    <t>0.862 (0.526, 1.412)</t>
  </si>
  <si>
    <t>3.081 (2.089, 4.544)</t>
  </si>
  <si>
    <t>11.19 (6.962, 18.00)</t>
  </si>
  <si>
    <t>11.195 (6.962, 18.002)</t>
  </si>
  <si>
    <t>40.68 (18.31, 90.38)</t>
  </si>
  <si>
    <t>40.683 (18.312, 90.386)</t>
  </si>
  <si>
    <t>2.068 (0.912, 4.689)</t>
  </si>
  <si>
    <t>0.364 (0.001, 110.8)</t>
  </si>
  <si>
    <t>0.364 (0.001, 110.827)</t>
  </si>
  <si>
    <t>0.568 (0.025, 13.05)</t>
  </si>
  <si>
    <t>0.568 (0.025, 13.058)</t>
  </si>
  <si>
    <t>0.886 (0.302, 2.601)</t>
  </si>
  <si>
    <t>3.408 (1.471, 7.896)</t>
  </si>
  <si>
    <t>7.79 (3.019, 20.115)</t>
  </si>
  <si>
    <t>7.793 (3.019, 20.115)</t>
  </si>
  <si>
    <t>17.72 (3.777, 83.22)</t>
  </si>
  <si>
    <t>17.729 (3.777, 83.222)</t>
  </si>
  <si>
    <t>2.946 (2.032,  4.269)</t>
  </si>
  <si>
    <t>0.303 (0.029, 3.129)</t>
  </si>
  <si>
    <t>0.351 (0.100, 1.226)</t>
  </si>
  <si>
    <t>0.351 (0.1, 1.226)</t>
  </si>
  <si>
    <t>0.409 (0.245, 0.685)</t>
  </si>
  <si>
    <t>2.105 (1.453, 3.051)</t>
  </si>
  <si>
    <t>3.772 (2.426, 5.864)</t>
  </si>
  <si>
    <t>6.742 (3.099, 14.67)</t>
  </si>
  <si>
    <t>1.151 (0.809, 1.638)</t>
  </si>
  <si>
    <t>15.01 (5.239, 43.02)</t>
  </si>
  <si>
    <t>15.014 (5.239, 43.027)</t>
  </si>
  <si>
    <t>5.064 (2.812, 9.119)</t>
  </si>
  <si>
    <t>1.714 (1.112, 2.641)</t>
  </si>
  <si>
    <t>1.719 (1.122, 2.635)</t>
  </si>
  <si>
    <t>2.422 (1.164, 5.039)</t>
  </si>
  <si>
    <t>3.412 (0.923, 12.61)</t>
  </si>
  <si>
    <t>2.552 (2.035, 3.201)</t>
  </si>
  <si>
    <t>0.591 (0.154, 2.263)</t>
  </si>
  <si>
    <t>0.596 (0.292, 1.214)</t>
  </si>
  <si>
    <t>0.603 (0.445, 0.818)</t>
  </si>
  <si>
    <t>2.532 (2.008, 3.191)</t>
  </si>
  <si>
    <t>5.109 (3.635, 7.181)</t>
  </si>
  <si>
    <t>10.31 (5.658, 18.78)</t>
  </si>
  <si>
    <t>10.309 (5.658, 18.782)</t>
  </si>
  <si>
    <t>0.598 (0.459, 0.778)</t>
  </si>
  <si>
    <t>33.57 (18.11, 62.22)</t>
  </si>
  <si>
    <t>33.568 (18.11, 62.22)</t>
  </si>
  <si>
    <t>3.750 (2.883, 4.877)</t>
  </si>
  <si>
    <t>3.75 (2.883, 4.877)</t>
  </si>
  <si>
    <t>0.772 (0.536, 1.112)</t>
  </si>
  <si>
    <t>1.175 (0.822, 1.679)</t>
  </si>
  <si>
    <t>1.909 (1.166, 3.128)</t>
  </si>
  <si>
    <t>10.13 (2.540, 40.26)</t>
  </si>
  <si>
    <t>1.067 (0.801, 1.421)</t>
  </si>
  <si>
    <t>3.941 (1.899, 8.180)</t>
  </si>
  <si>
    <t>3.941 (1.899, 8.18)</t>
  </si>
  <si>
    <t>1.388 (1.025, 1.879)</t>
  </si>
  <si>
    <t>0.880 (0.609, 1.270)</t>
  </si>
  <si>
    <t>0.88 (0.609, 1.27)</t>
  </si>
  <si>
    <t>0.669 (0.415, 1.080)</t>
  </si>
  <si>
    <t>0.669 (0.415, 1.08)</t>
  </si>
  <si>
    <t>0.507 (0.209, 1.229)</t>
  </si>
  <si>
    <t>0.261 (0.034,  2.001)</t>
  </si>
  <si>
    <t>0.625 (0.535, 0.730)</t>
  </si>
  <si>
    <t>35.32 (23.55, 52.98)</t>
  </si>
  <si>
    <t>35.324 (23.55, 52.983)</t>
  </si>
  <si>
    <t>3.889 (3.310, 4.570)</t>
  </si>
  <si>
    <t>3.889 (3.31, 4.57)</t>
  </si>
  <si>
    <t>0.879 (0.712, 1.085)</t>
  </si>
  <si>
    <t>1.523 (1.245, 1.863)</t>
  </si>
  <si>
    <t>2.809 (2.148, 3.674)</t>
  </si>
  <si>
    <t>23.03 (10.92, 48.59)</t>
  </si>
  <si>
    <t>0.800 (0.721, 0.887)</t>
  </si>
  <si>
    <t>9.831 (7.477, 12.92)</t>
  </si>
  <si>
    <t>9.831 (7.477, 12.928)</t>
  </si>
  <si>
    <t>2.458 (2.191, 2.759)</t>
  </si>
  <si>
    <t>1.190 (1.040, 1.361)</t>
  </si>
  <si>
    <t>1.19 (1.04, 1.361)</t>
  </si>
  <si>
    <t>2.331 (2.046, 2.657)</t>
  </si>
  <si>
    <t>4.737 (3.925, 5.718)</t>
  </si>
  <si>
    <t>25.52 (16.73, 38.91)</t>
  </si>
  <si>
    <t>2.074 (1.684, 2.556)</t>
  </si>
  <si>
    <t>3.610 (1.619, 8.004)</t>
  </si>
  <si>
    <t>3.6 (1.619, 8.004)</t>
  </si>
  <si>
    <t>1.132 (0.878, 1.460)</t>
  </si>
  <si>
    <t>1.132 (0.878, 1.46)</t>
  </si>
  <si>
    <t>1.993 (1.619, 2.453)</t>
  </si>
  <si>
    <t>3.817 (3.134, 4.649)</t>
  </si>
  <si>
    <t>7.325 (5.761, 9.313)</t>
  </si>
  <si>
    <t>68.81 (36.39, 130.1)</t>
  </si>
  <si>
    <t>2.512 (2.254, 2.799)</t>
  </si>
  <si>
    <t>0.687 (0.451, 1.048)</t>
  </si>
  <si>
    <t>0.566 (0.494, 0.649)</t>
  </si>
  <si>
    <t>1.967 (1.764, 2.194)</t>
  </si>
  <si>
    <t>3.506 (3.141, 3.913)</t>
  </si>
  <si>
    <t>6.248 (5.282, 7.390)</t>
  </si>
  <si>
    <t>6.248 (5.282, 7.39)</t>
  </si>
  <si>
    <t>24.64 (16.84, 36.06)</t>
  </si>
  <si>
    <t>0.837 (0.713,  0.982)</t>
  </si>
  <si>
    <t>34.36 (22.23, 53.08)</t>
  </si>
  <si>
    <t>34.36 (22.239, 53.089)</t>
  </si>
  <si>
    <t>3.681 (3.101, 4.371)</t>
  </si>
  <si>
    <t>1.227 (0.996, 1.510)</t>
  </si>
  <si>
    <t>1.227 (0.996, 1.51)</t>
  </si>
  <si>
    <t>2.122 (1.738, 2.591)</t>
  </si>
  <si>
    <t>3.775 (2.909, 4.899)</t>
  </si>
  <si>
    <t>27.32 (13.34, 55.96)</t>
  </si>
  <si>
    <t>0.916 (0.836, 1.005)</t>
  </si>
  <si>
    <t>3.602 (2.750, 4.712)</t>
  </si>
  <si>
    <t>3.6 (2.75, 4.712)</t>
  </si>
  <si>
    <t>1.496 (1.351, 1.656)</t>
  </si>
  <si>
    <t>0.951 (0.848, 1.068)</t>
  </si>
  <si>
    <t>1.208 (1.069, 1.364)</t>
  </si>
  <si>
    <t>1.575 (1.293, 1.917)</t>
  </si>
  <si>
    <t>2.957 (1.888, 4.629)</t>
  </si>
  <si>
    <t>0.566 (0.388, 0.826)</t>
  </si>
  <si>
    <t>52.26 (23.45, 116.4)</t>
  </si>
  <si>
    <t>52.268 (23.456, 116.471)</t>
  </si>
  <si>
    <t>6.207 (4.019, 9.586)</t>
  </si>
  <si>
    <t>1.557 (0.921, 2.631)</t>
  </si>
  <si>
    <t>3.285 (1.960, 5.506)</t>
  </si>
  <si>
    <t>3.285 (1.96, 5.506)</t>
  </si>
  <si>
    <t>6.934 (4.064, 11.83)</t>
  </si>
  <si>
    <t>124.9 (33.60, 464.5)</t>
  </si>
  <si>
    <t>0.406 (0.278, 0.594)</t>
  </si>
  <si>
    <t>34.30 (19.09, 61.68)</t>
  </si>
  <si>
    <t>34.316 (19.091, 61.685)</t>
  </si>
  <si>
    <t>4.614 (3.164, 6.729)</t>
  </si>
  <si>
    <t>0.660 (0.375, 1.160)</t>
  </si>
  <si>
    <t>0.66 (0.375, 1.16)</t>
  </si>
  <si>
    <t>1.060 (0.610, 1.840)</t>
  </si>
  <si>
    <t>1.06 (0.61, 1.84)</t>
  </si>
  <si>
    <t>1.840 (0.840, 4.032)</t>
  </si>
  <si>
    <t>1.84 (0.84, 4.032)</t>
  </si>
  <si>
    <t>6.729 (1.174, 38.57)</t>
  </si>
  <si>
    <t>0.569 (0.374, 0.867)</t>
  </si>
  <si>
    <t>11.40 (4.535, 28.89)</t>
  </si>
  <si>
    <t>11.447 (4.535, 28.893)</t>
  </si>
  <si>
    <t>2.368 (1.615, 3.473)</t>
  </si>
  <si>
    <t>0.520 (0.290, 0.933)</t>
  </si>
  <si>
    <t>0.52 (0.29, 0.933)</t>
  </si>
  <si>
    <t>0.407 (0.194, 0.853)</t>
  </si>
  <si>
    <t>0.337 (0.085, 1.332)</t>
  </si>
  <si>
    <t>0.184 (0.002, 14.65)</t>
  </si>
  <si>
    <t>0.978 (0.696, 1.374)</t>
  </si>
  <si>
    <t>7.894 (3.468, 17.97)</t>
  </si>
  <si>
    <t>7.894 (3.468, 17.971)</t>
  </si>
  <si>
    <t>1.934 (1.312, 2.850)</t>
  </si>
  <si>
    <t>1.934 (1.312, 2.85)</t>
  </si>
  <si>
    <t>1.383 (0.898, 2.132)</t>
  </si>
  <si>
    <t>2.912 (1.942, 4.365)</t>
  </si>
  <si>
    <t>6.244 (3.647, 10.69)</t>
  </si>
  <si>
    <t>36.93 (12.02, 113.5)</t>
  </si>
  <si>
    <t>2.318 (1.052, 5.106)</t>
  </si>
  <si>
    <t>2.968 (0.124, 71.13)</t>
  </si>
  <si>
    <t>2.968 (0.124, 71.134)</t>
  </si>
  <si>
    <t>1.357 (0.493, 3.735)</t>
  </si>
  <si>
    <t>2.956 (1.268, 6.893)</t>
  </si>
  <si>
    <t>2.508 (0.999, 6.296)</t>
  </si>
  <si>
    <t>1.909 (0.408, 8.938)</t>
  </si>
  <si>
    <t>0.697 (0.007, 67.03)</t>
  </si>
  <si>
    <t>1.148  (0.827, 1.594)</t>
  </si>
  <si>
    <t>0.067 (0.009, 0.491)</t>
  </si>
  <si>
    <t>0.501 (0.275, 0.913)</t>
  </si>
  <si>
    <t>1.584 (1.080, 2.325)</t>
  </si>
  <si>
    <t>1.584 (1.08, 2.325)</t>
  </si>
  <si>
    <t>1.658 (1.077, 2.553)</t>
  </si>
  <si>
    <t>1.669 (0.796, 3.499)</t>
  </si>
  <si>
    <t>1.506 (0.242, 9.342)</t>
  </si>
  <si>
    <t>1.511 (1.013, 2.252)</t>
  </si>
  <si>
    <t>45.85 (17.66, 119.0)</t>
  </si>
  <si>
    <t>45.85 (17.66, 119.039)</t>
  </si>
  <si>
    <t>3.687 (2.390, 5.688)</t>
  </si>
  <si>
    <t>3.687 (2.39, 5.688)</t>
  </si>
  <si>
    <t>2.554 (1.623, 4.020)</t>
  </si>
  <si>
    <t>2.554 (1.623, 4.02)</t>
  </si>
  <si>
    <t>5.924 (3.789, 9.264)</t>
  </si>
  <si>
    <t>13.42 (8.571, 21.02)</t>
  </si>
  <si>
    <t>13.424 (8.571, 21.024)</t>
  </si>
  <si>
    <t>311.4 (115.2, 841.6)</t>
  </si>
  <si>
    <t>0.941 (0.761, 1.162)</t>
  </si>
  <si>
    <t>1.290 (0.638, 2.606)</t>
  </si>
  <si>
    <t>1.29 (0.638, 2.606)</t>
  </si>
  <si>
    <t>1.106 (0.863, 1.419)</t>
  </si>
  <si>
    <t>1.135 (0.878, 1.468)</t>
  </si>
  <si>
    <t>2.024 (1.580, 2.593)</t>
  </si>
  <si>
    <t>2.024 (1.58, 2.593)</t>
  </si>
  <si>
    <t>3.707 (2.620, 5.245)</t>
  </si>
  <si>
    <t>3.707 (2.62, 5.245)</t>
  </si>
  <si>
    <t>14.93 (7.131, 31.28)</t>
  </si>
  <si>
    <t xml:space="preserve">Missing values </t>
  </si>
  <si>
    <r>
      <rPr>
        <b/>
        <i/>
        <sz val="11"/>
        <color rgb="FF000000"/>
        <rFont val="Aptos Narrow"/>
        <family val="2"/>
        <scheme val="minor"/>
      </rPr>
      <t>n</t>
    </r>
    <r>
      <rPr>
        <b/>
        <sz val="11"/>
        <color rgb="FF000000"/>
        <rFont val="Aptos Narrow"/>
        <family val="2"/>
        <scheme val="minor"/>
      </rPr>
      <t xml:space="preserve"> (missing)</t>
    </r>
  </si>
  <si>
    <t>Outcomes</t>
  </si>
  <si>
    <t xml:space="preserve">Little’s test p </t>
  </si>
  <si>
    <r>
      <rPr>
        <b/>
        <sz val="11"/>
        <color rgb="FF000000"/>
        <rFont val="Aptos Narrow"/>
        <family val="2"/>
        <scheme val="minor"/>
      </rPr>
      <t>Supplementary Table 3.5: Assessing the mechanisms of BMD data missingness.</t>
    </r>
    <r>
      <rPr>
        <sz val="11"/>
        <color rgb="FF000000"/>
        <rFont val="Aptos Narrow"/>
        <family val="2"/>
        <scheme val="minor"/>
      </rPr>
      <t xml:space="preserve"> Missing BMD values for BMFF in the corresponding skeletal regions (whole-body BMD used for each multi-site measurement) showing the total number of participants (n) in each regional BMFF cohort and the number of missing BMD values (missing). The p-values from the ANOVA tests using the missing status of the BMD data as the explanatory variable (i.e., missing or complete) against each continuous outcome variable in the 'Outcomes' column are reported. The p-values fom the </t>
    </r>
    <r>
      <rPr>
        <i/>
        <sz val="11"/>
        <color rgb="FF000000"/>
        <rFont val="Aptos Narrow"/>
        <family val="2"/>
        <scheme val="minor"/>
      </rPr>
      <t>X</t>
    </r>
    <r>
      <rPr>
        <i/>
        <vertAlign val="superscript"/>
        <sz val="11"/>
        <color rgb="FF000000"/>
        <rFont val="Aptos Narrow"/>
        <family val="2"/>
        <scheme val="minor"/>
      </rPr>
      <t>2</t>
    </r>
    <r>
      <rPr>
        <i/>
        <sz val="11"/>
        <color rgb="FF000000"/>
        <rFont val="Aptos Narrow"/>
        <family val="2"/>
        <scheme val="minor"/>
      </rPr>
      <t xml:space="preserve"> </t>
    </r>
    <r>
      <rPr>
        <sz val="11"/>
        <color rgb="FF000000"/>
        <rFont val="Aptos Narrow"/>
        <family val="2"/>
        <scheme val="minor"/>
      </rPr>
      <t>test between the missing values statuses and sex are shown. The  p-values from the Little's test (carried out using the nainar R package, v1.1.0) test the likelyhood of the data missing completely at random (null hypethesis = data are data missing completely at random). Bonferroni correction was applied to adjust for multiple comparison when comparing each outcome (p-value significance threshold = 0.05/4 [number of outcomes for spine, femoral neck, femoral trochanter and femoral shaft BMD] = 0.013 and 0.05/7 [number of outcomes for whole-body BMD] = 0.007).</t>
    </r>
  </si>
  <si>
    <t>Spine BMD (g/cm^2)</t>
  </si>
  <si>
    <t>50208 (7465)</t>
  </si>
  <si>
    <t>Spine BMFF</t>
  </si>
  <si>
    <t>Age (years)</t>
  </si>
  <si>
    <t>Femoral neck BMD (g/cm^2)</t>
  </si>
  <si>
    <t>47029 (6907)</t>
  </si>
  <si>
    <t xml:space="preserve"> Femoral head BMFF</t>
  </si>
  <si>
    <t>Femoral trochanter BMD (g/cm^2)</t>
  </si>
  <si>
    <t>46939 (6793)</t>
  </si>
  <si>
    <t>Total hip BMFF</t>
  </si>
  <si>
    <t>Femoral shaft BMD (g/cm^2)</t>
  </si>
  <si>
    <t>45717 (6664)</t>
  </si>
  <si>
    <t>Diaphysis BMFF</t>
  </si>
  <si>
    <t>Whole-body BMD (g/cm^2)</t>
  </si>
  <si>
    <t>41873 (6013)</t>
  </si>
  <si>
    <t>Spine:Femoral ratio</t>
  </si>
  <si>
    <t>Multi-site 1</t>
  </si>
  <si>
    <t>PC1</t>
  </si>
  <si>
    <t>PC2</t>
  </si>
  <si>
    <t>Exposure</t>
  </si>
  <si>
    <t>n</t>
  </si>
  <si>
    <t>Beta</t>
  </si>
  <si>
    <t>CI_lower</t>
  </si>
  <si>
    <t>CI_upper</t>
  </si>
  <si>
    <t>Beta_diff</t>
  </si>
  <si>
    <r>
      <t>R</t>
    </r>
    <r>
      <rPr>
        <b/>
        <vertAlign val="superscript"/>
        <sz val="11"/>
        <color theme="1"/>
        <rFont val="Aptos Narrow"/>
        <family val="2"/>
      </rPr>
      <t>2</t>
    </r>
  </si>
  <si>
    <t>p_value</t>
  </si>
  <si>
    <t>Both</t>
  </si>
  <si>
    <t>Imp_Spine_BMD</t>
  </si>
  <si>
    <t>-0.033</t>
  </si>
  <si>
    <r>
      <rPr>
        <b/>
        <sz val="11"/>
        <color theme="1"/>
        <rFont val="Aptos Narrow"/>
        <family val="2"/>
        <scheme val="minor"/>
      </rPr>
      <t>Supplementary Table 3.6: Results from the linear regressions between BMD (imputed and complete-case) and regional BMFF.</t>
    </r>
    <r>
      <rPr>
        <sz val="11"/>
        <color theme="1"/>
        <rFont val="Aptos Narrow"/>
        <family val="2"/>
        <scheme val="minor"/>
      </rPr>
      <t xml:space="preserve">  The summary statistics (sample size, effect estimate [beta], the 95% confidence interval [CI_lower = lower interval; 2.5%, CI_upper = upper interval;  97.5%], R</t>
    </r>
    <r>
      <rPr>
        <vertAlign val="superscript"/>
        <sz val="11"/>
        <color theme="1"/>
        <rFont val="Aptos Narrow"/>
        <family val="2"/>
        <scheme val="minor"/>
      </rPr>
      <t>2</t>
    </r>
    <r>
      <rPr>
        <sz val="11"/>
        <color theme="1"/>
        <rFont val="Aptos Narrow"/>
        <family val="2"/>
        <scheme val="minor"/>
      </rPr>
      <t xml:space="preserve"> and p-values) from the multivariate linear regressions adjusting for sex, age and BMI (apart from the sex-stratified regressions that are not adjusted for sex) between regional BMD (outcome) and BMFF  (exposure). These regressions were conducted using both complete case and imputed BMD data (indicated by the 'Imp_' prefix), and the difference in the effect estimates between the imputed and complete-case analyses are displayed in the 'Beta_diff' column, and the median effect estimate differences between imputed and complete-case BMD data across all skeletal regions in both sexes and in males and females are shown below the table. Bonferroni correction is made to adjust for multiple comparisons between each linear regression conducted in each skeletal region (0.05/9 [9 comparisons for each BMFF regression model] = 0.0056).</t>
    </r>
  </si>
  <si>
    <t>Spine_BMD</t>
  </si>
  <si>
    <t>-0.039</t>
  </si>
  <si>
    <t>Femoral head BMFF</t>
  </si>
  <si>
    <t>Imp_Femur_neck_BMD</t>
  </si>
  <si>
    <t>-0.043</t>
  </si>
  <si>
    <t>Femur_neck_BMD</t>
  </si>
  <si>
    <t>-0.051</t>
  </si>
  <si>
    <t>Imp_Femur_troch_BMD</t>
  </si>
  <si>
    <t>-0.035</t>
  </si>
  <si>
    <t>-0.031</t>
  </si>
  <si>
    <t>Femur_troch_BMD</t>
  </si>
  <si>
    <t>-0.038</t>
  </si>
  <si>
    <t>-0.040</t>
  </si>
  <si>
    <t>Imp_Femur_troch</t>
  </si>
  <si>
    <t>Imp_Femur_shaft_BMD</t>
  </si>
  <si>
    <t>-0.049</t>
  </si>
  <si>
    <t>Femur_shaft_BMD</t>
  </si>
  <si>
    <t>Median beta difference (both)</t>
  </si>
  <si>
    <t>Median beta difference (females)</t>
  </si>
  <si>
    <t>Median beta difference (males)</t>
  </si>
  <si>
    <t>Skeletal region</t>
  </si>
  <si>
    <t>n (case/control)</t>
  </si>
  <si>
    <t>Spine BMFF</t>
  </si>
  <si>
    <t>1116/47613</t>
  </si>
  <si>
    <t>1.461 (1.355, 1.575)</t>
  </si>
  <si>
    <r>
      <rPr>
        <b/>
        <sz val="11"/>
        <color theme="1"/>
        <rFont val="Aptos Narrow"/>
        <family val="2"/>
        <scheme val="minor"/>
      </rPr>
      <t xml:space="preserve">Supplementary Table 3.7: Results from the logistic regressions between prevalent osteoporosis and regional BMFF. </t>
    </r>
    <r>
      <rPr>
        <sz val="11"/>
        <color theme="1"/>
        <rFont val="Aptos Narrow"/>
        <family val="2"/>
        <scheme val="minor"/>
      </rPr>
      <t>The summary statistics (number of cases and controls of prevalent osteoporosis, odds ratio [95% confidence interval] and p-values) from the multivariate logistic regressions adjusting for sex, age and BMI (apart from the sex-stratified regressions that are not adjusted for sex) between prevalent osteoporosis and regional BMFF. Bonferroni correction is made to adjust for multiple comparisons between each logistic regression conducted in each skeletal region (0.05/3 [3 comparisons for each BMFF regression model] = 0.017).</t>
    </r>
  </si>
  <si>
    <t>Female</t>
  </si>
  <si>
    <t>970/24145</t>
  </si>
  <si>
    <t>1.475 (1.395, 1.570)</t>
  </si>
  <si>
    <t>Male</t>
  </si>
  <si>
    <t>146/23468</t>
  </si>
  <si>
    <t>1.313 (1.109, 1.550)</t>
  </si>
  <si>
    <t>Femoral head BMFF</t>
  </si>
  <si>
    <t>1043/44594</t>
  </si>
  <si>
    <t>1.553  (1.424, 1.693)</t>
  </si>
  <si>
    <t xml:space="preserve">910/23469	</t>
  </si>
  <si>
    <t>1.544 (1.416, 1.684)</t>
  </si>
  <si>
    <t>133/21125</t>
  </si>
  <si>
    <t>1.105 (0.927, 1.324)</t>
  </si>
  <si>
    <t>Total hip BMFF</t>
  </si>
  <si>
    <t>1100/44443</t>
  </si>
  <si>
    <t>1.601 (1.482, 1.730)</t>
  </si>
  <si>
    <t>967/23902</t>
  </si>
  <si>
    <t>1.596 (1.477, 1.726)</t>
  </si>
  <si>
    <t>133/20541</t>
  </si>
  <si>
    <t>1.319 (1.100, 1.582)</t>
  </si>
  <si>
    <t>Diaphysis BMFF</t>
  </si>
  <si>
    <t>1031/43332</t>
  </si>
  <si>
    <t>1.486 (1.375, 1.606)</t>
  </si>
  <si>
    <t>913/23520</t>
  </si>
  <si>
    <t>1.477 (1.366, 1.598)</t>
  </si>
  <si>
    <t>118/19812</t>
  </si>
  <si>
    <t>1.349 (1.121, 1.627)</t>
  </si>
  <si>
    <t>#Code - name of therapy</t>
  </si>
  <si>
    <t>#1140868406 - conjugated oestrogens</t>
  </si>
  <si>
    <r>
      <rPr>
        <b/>
        <sz val="11"/>
        <color theme="1"/>
        <rFont val="Aptos Narrow"/>
        <family val="2"/>
        <scheme val="minor"/>
      </rPr>
      <t>Supplementary Table 3.8: List of hormone replacement therapies in the UKB.</t>
    </r>
    <r>
      <rPr>
        <sz val="11"/>
        <color theme="1"/>
        <rFont val="Aptos Narrow"/>
        <family val="2"/>
        <scheme val="minor"/>
      </rPr>
      <t xml:space="preserve"> The list of hormone replacement therapy codes and the respective names according to UKB data-field 20003. Females who had ever taken any of the listed medications/therapies were classified as 'HRT' for the relevant analyses.  </t>
    </r>
  </si>
  <si>
    <t>#1140884622 - oestrogen product</t>
  </si>
  <si>
    <t>#1141190580 - conjugated oestrogens 0.3mg / medroxyprogesterone 1.5mg</t>
  </si>
  <si>
    <t>#1140857656 - methyltestosterone product</t>
  </si>
  <si>
    <t>#1140865136 - yohimbine/pemoline/methyltestosterone</t>
  </si>
  <si>
    <t>#1140868532 - testosterone product</t>
  </si>
  <si>
    <t>#1140910674 - ethinylnortestosterone</t>
  </si>
  <si>
    <t>#1141166354 - testoderm 6mg/24hours transdermal patch</t>
  </si>
  <si>
    <t>#1141193272 - testogel 50mg gel 5g sachet</t>
  </si>
  <si>
    <t>#1140857690 - oestradiol 25mg implant 36 week</t>
  </si>
  <si>
    <t>#1140857700 - oestradiol 1mg/1ml injection</t>
  </si>
  <si>
    <t>#1140857706 - oestriol 250micrograms tablet</t>
  </si>
  <si>
    <t>#1140857918 - lynoestrenol</t>
  </si>
  <si>
    <t>#1140868400 - oestriol product</t>
  </si>
  <si>
    <t>#1140868420 - piperazine oestrone sulphate</t>
  </si>
  <si>
    <t>#1140868446 - ethinyloestradiol</t>
  </si>
  <si>
    <t>#1140868456 - oestradiol product</t>
  </si>
  <si>
    <t>#1140868488 - allyloestrenol</t>
  </si>
  <si>
    <t>#1140869032 - dienoestrol</t>
  </si>
  <si>
    <t>#1140869166 - ethinyloestradiol+desogestrel 20mcg/150mcg tablet</t>
  </si>
  <si>
    <t>#1140869172 - ethinyloestradiol+ethynodiol diacetate 30mcg/2mg tablet</t>
  </si>
  <si>
    <t>#1140869248 - ethinyloestradiol+levonorgestrel 30mcg/150mcg tablet</t>
  </si>
  <si>
    <t>#1140869324 - loestrin 20 tablet</t>
  </si>
  <si>
    <t>#1140869328 - ethinyloestradiol+norethisterone acetate 20mcg/1mg tablet</t>
  </si>
  <si>
    <t>#1140869348 - ethinyloestradiol+norgestimate 35mcg/250mcg tablet</t>
  </si>
  <si>
    <t>#1140870070 - stilboestrol</t>
  </si>
  <si>
    <t>#1140870186 - oestrifen 10mg tablet</t>
  </si>
  <si>
    <t>#1140876638 - cyproterone acetate+ethinyloestradiol</t>
  </si>
  <si>
    <t>#1140883014 - ortho-dienoestrol 0.01% cream</t>
  </si>
  <si>
    <t>#1140917448 - oestradiol 1.25g/dose gel</t>
  </si>
  <si>
    <t>#1140917450 - oestrogel 1.25g gel</t>
  </si>
  <si>
    <t>#1141157404 - ethinyloestradiol product</t>
  </si>
  <si>
    <t>#1141166366 - ethinyloestradiol+gestodene 20micrograms/75micrograms tablet</t>
  </si>
  <si>
    <t>#1141167206 - oestrogel 0.06% gel</t>
  </si>
  <si>
    <t>#1141168324 - oestradiol+norethisterone acetate 1mg/0.5mg tablet</t>
  </si>
  <si>
    <t>#1141202030 - estradot 25micrograms patch</t>
  </si>
  <si>
    <t>#1140916790 - evorel 25 patch</t>
  </si>
  <si>
    <t>#1141151718 - evorel conti patch</t>
  </si>
  <si>
    <t>#1140923738 - femseven 50 patch</t>
  </si>
  <si>
    <t>#1140868460 - progynova 1mg tablet</t>
  </si>
  <si>
    <t>#1140868508 - cyclo-progynova 1mg tablet</t>
  </si>
  <si>
    <t>#1140923914 - progynova ts 50micrograms patch</t>
  </si>
  <si>
    <t>#1141180580 - progynova ts 50 50micrograms patch</t>
  </si>
  <si>
    <t>#1141151368 - sandrena 0.5mg gel</t>
  </si>
  <si>
    <t>#1140868408 - premarin 625micrograms tablet</t>
  </si>
  <si>
    <t>#1140868520 - estracombi tts patch</t>
  </si>
  <si>
    <t>#1140869524 - estracyt 140mg capsule</t>
  </si>
  <si>
    <t>#1140857708 - quinestradol</t>
  </si>
  <si>
    <t>#1140868470 - estrapak 50micrograms/1mg patch+tablet</t>
  </si>
  <si>
    <t>#1140869356 - mestranol+norethisterone 50micrograms/1mg tablet</t>
  </si>
  <si>
    <t>#1140870060 - polyestradiol phosphate</t>
  </si>
  <si>
    <t>#1140870062 - estradurin 40mg injection (pdr for recon)+diluent</t>
  </si>
  <si>
    <t>#1140879554 - estramustine</t>
  </si>
  <si>
    <t>#1140884626 - mestranol</t>
  </si>
  <si>
    <t>#1140921088 - tridestra tablet</t>
  </si>
  <si>
    <t>#1140926592 - estraderm mx 25 patch</t>
  </si>
  <si>
    <t>#1141157492 - mestranol product</t>
  </si>
  <si>
    <t>#1141179822 - ethinylestradiol+drospirenone 30micrograms/3mg tablet</t>
  </si>
  <si>
    <t>#1141181204 - ethinylestradiol+norgestimate 35mcg/250mcg tablet</t>
  </si>
  <si>
    <t>#1141181218 - ethinylestradiol product</t>
  </si>
  <si>
    <t>#1141181220 - ethinylestradiol</t>
  </si>
  <si>
    <t>#1141181240 - ethinylestradiol+levonorgestrel 30mcg/150mcg tablet</t>
  </si>
  <si>
    <t>#1141181286 - ethinylestradiol+desogestrel 20mcg/150mcg tablet</t>
  </si>
  <si>
    <t>#1141181298 - ethinylestradiol+norethisterone acetate 20mcg/1mg tablet</t>
  </si>
  <si>
    <t>#1141181306 - ethinylestradiol+gestodene 20micrograms/75micrograms tablet</t>
  </si>
  <si>
    <t>#1141181700 - estradiol product</t>
  </si>
  <si>
    <t>#1141181818 - estradiol+norethisterone acetate 1mg/0.5mg tablet</t>
  </si>
  <si>
    <t>#1141190734 - fulvestrant</t>
  </si>
  <si>
    <t>#1141192344 - cyproterone acetate+ethinylestradiol</t>
  </si>
  <si>
    <t>#1141192874 - ethinylestradiol+norelgestromin 600mcg/6mg transdermal patch</t>
  </si>
  <si>
    <r>
      <t>BMI (kg/m</t>
    </r>
    <r>
      <rPr>
        <vertAlign val="superscript"/>
        <sz val="11"/>
        <color rgb="FF000000"/>
        <rFont val="Aptos Narrow"/>
        <family val="2"/>
        <scheme val="minor"/>
      </rPr>
      <t>2</t>
    </r>
    <r>
      <rPr>
        <sz val="11"/>
        <color rgb="FF000000"/>
        <rFont val="Aptos Narrow"/>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</si>
</sst>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6" x14ac:knownFonts="1">
    <font>
      <sz val="11"/>
      <color theme="1"/>
      <name val="Aptos Narrow"/>
      <family val="2"/>
      <scheme val="minor"/>
    </font>
    <font>
      <b/>
      <sz val="11"/>
      <color theme="1"/>
      <name val="Aptos Narrow"/>
      <family val="2"/>
      <scheme val="minor"/>
    </font>
    <font>
      <i/>
      <sz val="11"/>
      <color theme="1"/>
      <name val="Aptos Narrow"/>
      <family val="2"/>
      <scheme val="minor"/>
    </font>
    <font>
      <i/>
      <vertAlign val="superscript"/>
      <sz val="11"/>
      <color theme="1"/>
      <name val="Aptos Narrow"/>
      <family val="2"/>
      <scheme val="minor"/>
    </font>
    <font>
      <b/>
      <sz val="11"/>
      <color theme="1"/>
      <name val="Aptos Narrow"/>
      <family val="2"/>
    </font>
    <font>
      <sz val="11"/>
      <color theme="1"/>
      <name val="Aptos Narrow"/>
      <family val="2"/>
    </font>
    <font>
      <sz val="11"/>
      <name val="Aptos Narrow"/>
      <family val="2"/>
      <scheme val="minor"/>
    </font>
    <font>
      <b/>
      <sz val="11"/>
      <color rgb="FF000000"/>
      <name val="Aptos Narrow"/>
      <family val="2"/>
      <scheme val="minor"/>
    </font>
    <font>
      <b/>
      <i/>
      <sz val="11"/>
      <color rgb="FF000000"/>
      <name val="Aptos Narrow"/>
      <family val="2"/>
      <scheme val="minor"/>
    </font>
    <font>
      <sz val="11"/>
      <color rgb="FF000000"/>
      <name val="Aptos Narrow"/>
      <family val="2"/>
      <scheme val="minor"/>
    </font>
    <font>
      <i/>
      <sz val="11"/>
      <color rgb="FF000000"/>
      <name val="Aptos Narrow"/>
      <family val="2"/>
      <scheme val="minor"/>
    </font>
    <font>
      <i/>
      <vertAlign val="superscript"/>
      <sz val="11"/>
      <color rgb="FF000000"/>
      <name val="Aptos Narrow"/>
      <family val="2"/>
      <scheme val="minor"/>
    </font>
    <font>
      <b/>
      <vertAlign val="superscript"/>
      <sz val="11"/>
      <color theme="1"/>
      <name val="Aptos Narrow"/>
      <family val="2"/>
    </font>
    <font>
      <sz val="11"/>
      <name val="Aptos Narrow"/>
      <family val="2"/>
    </font>
    <font>
      <vertAlign val="superscript"/>
      <sz val="11"/>
      <color theme="1"/>
      <name val="Aptos Narrow"/>
      <family val="2"/>
      <scheme val="minor"/>
    </font>
    <font>
      <vertAlign val="superscript"/>
      <sz val="11"/>
      <color rgb="FF000000"/>
      <name val="Aptos Narrow"/>
      <family val="2"/>
      <scheme val="minor"/>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72">
    <xf numFmtId="0" fontId="0" fillId="0" borderId="0" xfId="0"/>
    <xf numFmtId="0" fontId="0" fillId="0" borderId="0" xfId="0" applyAlignment="1">
      <alignment horizontal="center"/>
    </xf>
    <xf numFmtId="0" fontId="1" fillId="0" borderId="0" xfId="0" applyFont="1" applyAlignment="1">
      <alignment horizontal="center"/>
    </xf>
    <xf numFmtId="0" fontId="1" fillId="0" borderId="1" xfId="0" applyFont="1" applyBorder="1" applyAlignment="1">
      <alignment horizontal="center" vertical="center"/>
    </xf>
    <xf numFmtId="0" fontId="1" fillId="0" borderId="0" xfId="0" applyFont="1" applyAlignment="1">
      <alignment horizontal="center" vertical="center"/>
    </xf>
    <xf numFmtId="0" fontId="0" fillId="0" borderId="2" xfId="0" applyBorder="1" applyAlignment="1">
      <alignment horizontal="center" vertical="center"/>
    </xf>
    <xf numFmtId="0" fontId="1" fillId="0" borderId="1" xfId="0" applyFont="1" applyBorder="1" applyAlignment="1">
      <alignment horizontal="left" vertical="center"/>
    </xf>
    <xf numFmtId="0" fontId="0" fillId="0" borderId="1" xfId="0" applyBorder="1" applyAlignment="1">
      <alignment horizontal="center" vertical="center"/>
    </xf>
    <xf numFmtId="11" fontId="0" fillId="0" borderId="1" xfId="0" applyNumberFormat="1" applyBorder="1" applyAlignment="1">
      <alignment horizontal="center" vertical="center"/>
    </xf>
    <xf numFmtId="10" fontId="0" fillId="0" borderId="1" xfId="0" applyNumberFormat="1" applyBorder="1" applyAlignment="1">
      <alignment horizontal="center" vertical="center"/>
    </xf>
    <xf numFmtId="0" fontId="0" fillId="0" borderId="0" xfId="0" applyAlignment="1">
      <alignment horizontal="center" vertical="center"/>
    </xf>
    <xf numFmtId="11" fontId="0" fillId="0" borderId="0" xfId="0" applyNumberFormat="1" applyAlignment="1">
      <alignment horizontal="center" vertical="center"/>
    </xf>
    <xf numFmtId="0" fontId="1" fillId="0" borderId="7" xfId="0" applyFont="1" applyBorder="1" applyAlignment="1">
      <alignment horizontal="center" vertical="center"/>
    </xf>
    <xf numFmtId="0" fontId="1" fillId="0" borderId="10" xfId="0" applyFont="1" applyBorder="1" applyAlignment="1">
      <alignment horizontal="center" vertical="center"/>
    </xf>
    <xf numFmtId="0" fontId="0" fillId="0" borderId="7" xfId="0" applyBorder="1" applyAlignment="1">
      <alignment horizontal="center" vertical="center"/>
    </xf>
    <xf numFmtId="0" fontId="1" fillId="0" borderId="0" xfId="0" applyFont="1"/>
    <xf numFmtId="0" fontId="0" fillId="0" borderId="1" xfId="0" quotePrefix="1" applyBorder="1" applyAlignment="1">
      <alignment horizontal="center" vertical="center"/>
    </xf>
    <xf numFmtId="11" fontId="0" fillId="0" borderId="7" xfId="0" applyNumberFormat="1" applyBorder="1" applyAlignment="1">
      <alignment horizontal="center" vertical="center"/>
    </xf>
    <xf numFmtId="11" fontId="6" fillId="0" borderId="1" xfId="0" applyNumberFormat="1" applyFont="1" applyBorder="1" applyAlignment="1">
      <alignment horizontal="center" vertical="center"/>
    </xf>
    <xf numFmtId="0" fontId="7" fillId="0" borderId="1" xfId="0" applyFont="1" applyBorder="1" applyAlignment="1">
      <alignment horizontal="center" vertical="center"/>
    </xf>
    <xf numFmtId="11" fontId="7" fillId="0" borderId="1" xfId="0" applyNumberFormat="1" applyFont="1" applyBorder="1" applyAlignment="1">
      <alignment horizontal="center" vertical="center"/>
    </xf>
    <xf numFmtId="0" fontId="9" fillId="0" borderId="0" xfId="0" applyFont="1"/>
    <xf numFmtId="0" fontId="9" fillId="0" borderId="1" xfId="0" applyFont="1" applyBorder="1" applyAlignment="1">
      <alignment horizontal="center" vertical="center"/>
    </xf>
    <xf numFmtId="11" fontId="9" fillId="0" borderId="1" xfId="0" applyNumberFormat="1" applyFont="1" applyBorder="1" applyAlignment="1">
      <alignment horizontal="center" vertical="center"/>
    </xf>
    <xf numFmtId="11" fontId="0" fillId="0" borderId="1" xfId="0" applyNumberFormat="1" applyBorder="1" applyAlignment="1">
      <alignment horizontal="center"/>
    </xf>
    <xf numFmtId="0" fontId="4" fillId="0" borderId="0" xfId="0" applyFont="1" applyAlignment="1">
      <alignment horizontal="center"/>
    </xf>
    <xf numFmtId="11" fontId="4" fillId="0" borderId="0" xfId="0" applyNumberFormat="1" applyFont="1" applyAlignment="1">
      <alignment horizontal="center"/>
    </xf>
    <xf numFmtId="0" fontId="5" fillId="0" borderId="0" xfId="0" applyFont="1" applyAlignment="1">
      <alignment horizontal="center"/>
    </xf>
    <xf numFmtId="164" fontId="13" fillId="0" borderId="0" xfId="0" quotePrefix="1" applyNumberFormat="1" applyFont="1" applyAlignment="1">
      <alignment horizontal="center"/>
    </xf>
    <xf numFmtId="164" fontId="13" fillId="0" borderId="0" xfId="0" applyNumberFormat="1" applyFont="1" applyAlignment="1">
      <alignment horizontal="center"/>
    </xf>
    <xf numFmtId="11" fontId="13" fillId="0" borderId="0" xfId="0" applyNumberFormat="1" applyFont="1" applyAlignment="1">
      <alignment horizontal="center"/>
    </xf>
    <xf numFmtId="164" fontId="5" fillId="0" borderId="0" xfId="0" applyNumberFormat="1" applyFont="1" applyAlignment="1">
      <alignment horizontal="center"/>
    </xf>
    <xf numFmtId="11" fontId="5" fillId="0" borderId="0" xfId="0" applyNumberFormat="1" applyFont="1" applyAlignment="1">
      <alignment horizontal="center"/>
    </xf>
    <xf numFmtId="2" fontId="13" fillId="0" borderId="0" xfId="0" quotePrefix="1" applyNumberFormat="1" applyFont="1" applyAlignment="1">
      <alignment horizontal="center"/>
    </xf>
    <xf numFmtId="0" fontId="5" fillId="0" borderId="5" xfId="0" applyFont="1" applyBorder="1"/>
    <xf numFmtId="164" fontId="4" fillId="0" borderId="5" xfId="0" applyNumberFormat="1" applyFont="1" applyBorder="1"/>
    <xf numFmtId="0" fontId="5" fillId="0" borderId="0" xfId="0" applyFont="1"/>
    <xf numFmtId="164" fontId="4" fillId="0" borderId="0" xfId="0" applyNumberFormat="1" applyFont="1"/>
    <xf numFmtId="0" fontId="7" fillId="0" borderId="0" xfId="0" applyFont="1" applyAlignment="1">
      <alignment horizontal="center"/>
    </xf>
    <xf numFmtId="0" fontId="7" fillId="0" borderId="0" xfId="0" applyFont="1"/>
    <xf numFmtId="0" fontId="9" fillId="0" borderId="0" xfId="0" applyFont="1" applyAlignment="1">
      <alignment horizontal="center"/>
    </xf>
    <xf numFmtId="11" fontId="9" fillId="0" borderId="0" xfId="0" applyNumberFormat="1" applyFont="1" applyAlignment="1">
      <alignment horizontal="center"/>
    </xf>
    <xf numFmtId="11" fontId="9" fillId="0" borderId="0" xfId="0" applyNumberFormat="1" applyFont="1"/>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1" fillId="0" borderId="11"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1" fillId="0" borderId="12" xfId="0" applyFont="1" applyBorder="1" applyAlignment="1">
      <alignment horizontal="center" vertical="center" textRotation="90"/>
    </xf>
    <xf numFmtId="0" fontId="1" fillId="0" borderId="11" xfId="0" applyFont="1" applyBorder="1" applyAlignment="1">
      <alignment horizontal="center" vertical="center" textRotation="90"/>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0" fillId="0" borderId="7" xfId="0" quotePrefix="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9" fillId="0" borderId="1" xfId="0" applyFont="1" applyBorder="1" applyAlignment="1">
      <alignment horizontal="center" vertical="center"/>
    </xf>
    <xf numFmtId="3" fontId="9" fillId="0" borderId="1" xfId="0" applyNumberFormat="1" applyFont="1" applyBorder="1" applyAlignment="1">
      <alignment horizontal="center" vertical="center"/>
    </xf>
    <xf numFmtId="0" fontId="5" fillId="0" borderId="0" xfId="0" applyFont="1" applyAlignment="1">
      <alignment horizontal="center" vertical="center"/>
    </xf>
    <xf numFmtId="164" fontId="13" fillId="0" borderId="0" xfId="0" applyNumberFormat="1" applyFont="1" applyAlignment="1">
      <alignment horizontal="center" vertical="center"/>
    </xf>
    <xf numFmtId="164" fontId="5" fillId="0" borderId="0" xfId="0" applyNumberFormat="1" applyFont="1" applyAlignment="1">
      <alignment horizontal="center" vertical="center"/>
    </xf>
    <xf numFmtId="0" fontId="9" fillId="0" borderId="0" xfId="0" applyFont="1" applyAlignment="1">
      <alignment horizontal="center" vertical="center"/>
    </xf>
    <xf numFmtId="0" fontId="4" fillId="0" borderId="5" xfId="0" applyFont="1" applyBorder="1" applyAlignment="1">
      <alignment horizontal="center"/>
    </xf>
    <xf numFmtId="0" fontId="4"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F16E0-3FC9-43F6-9E8D-D2DFD292493D}">
  <dimension ref="A1:C5"/>
  <sheetViews>
    <sheetView zoomScale="70" workbookViewId="0">
      <selection activeCell="B5" sqref="B5"/>
    </sheetView>
  </sheetViews>
  <sheetFormatPr defaultRowHeight="14.4" x14ac:dyDescent="0.55000000000000004"/>
  <cols>
    <col min="1" max="1" width="38.83984375" bestFit="1" customWidth="1"/>
    <col min="2" max="2" width="34" bestFit="1" customWidth="1"/>
    <col min="3" max="3" width="95.15625" customWidth="1"/>
  </cols>
  <sheetData>
    <row r="1" spans="1:3" x14ac:dyDescent="0.55000000000000004">
      <c r="A1" s="2" t="s">
        <v>0</v>
      </c>
      <c r="B1" s="2" t="s">
        <v>1</v>
      </c>
      <c r="C1" s="2" t="s">
        <v>2</v>
      </c>
    </row>
    <row r="2" spans="1:3" x14ac:dyDescent="0.55000000000000004">
      <c r="A2" s="1" t="s">
        <v>3</v>
      </c>
      <c r="B2" s="1" t="s">
        <v>4</v>
      </c>
      <c r="C2" s="1" t="s">
        <v>5</v>
      </c>
    </row>
    <row r="3" spans="1:3" x14ac:dyDescent="0.55000000000000004">
      <c r="A3" s="1" t="s">
        <v>6</v>
      </c>
      <c r="B3" s="1" t="s">
        <v>7</v>
      </c>
      <c r="C3" s="1" t="s">
        <v>8</v>
      </c>
    </row>
    <row r="4" spans="1:3" x14ac:dyDescent="0.55000000000000004">
      <c r="A4" s="1" t="s">
        <v>9</v>
      </c>
      <c r="B4" s="1" t="s">
        <v>10</v>
      </c>
      <c r="C4" s="1" t="s">
        <v>11</v>
      </c>
    </row>
    <row r="5" spans="1:3" x14ac:dyDescent="0.55000000000000004">
      <c r="A5" s="1"/>
      <c r="B5" s="1" t="s">
        <v>12</v>
      </c>
      <c r="C5" s="1"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2E7B5-56B3-4784-B1D7-9F76A12D2124}">
  <dimension ref="A1:AM86"/>
  <sheetViews>
    <sheetView zoomScale="42" zoomScaleNormal="100" workbookViewId="0">
      <selection activeCell="AQ64" sqref="AQ64"/>
    </sheetView>
  </sheetViews>
  <sheetFormatPr defaultRowHeight="14.4" x14ac:dyDescent="0.55000000000000004"/>
  <cols>
    <col min="1" max="1" width="13" customWidth="1"/>
    <col min="2" max="2" width="20.83984375" customWidth="1"/>
    <col min="3" max="3" width="20.83984375" bestFit="1" customWidth="1"/>
    <col min="4" max="4" width="20.83984375" customWidth="1"/>
    <col min="5" max="5" width="17.41796875" customWidth="1"/>
    <col min="6" max="6" width="18.578125" customWidth="1"/>
    <col min="7" max="7" width="15.83984375" bestFit="1" customWidth="1"/>
    <col min="8" max="8" width="18.26171875" customWidth="1"/>
    <col min="9" max="9" width="18.578125" customWidth="1"/>
    <col min="10" max="10" width="14.83984375" bestFit="1" customWidth="1"/>
    <col min="11" max="11" width="13.83984375" bestFit="1" customWidth="1"/>
    <col min="12" max="12" width="9.26171875" bestFit="1" customWidth="1"/>
    <col min="13" max="13" width="12" bestFit="1" customWidth="1"/>
    <col min="14" max="14" width="14.83984375" bestFit="1" customWidth="1"/>
    <col min="15" max="15" width="13.83984375" bestFit="1" customWidth="1"/>
    <col min="16" max="16" width="9.26171875" bestFit="1" customWidth="1"/>
    <col min="17" max="17" width="12.15625" bestFit="1" customWidth="1"/>
    <col min="21" max="21" width="12" bestFit="1" customWidth="1"/>
    <col min="25" max="25" width="12.15625" bestFit="1" customWidth="1"/>
    <col min="29" max="29" width="12" bestFit="1" customWidth="1"/>
    <col min="33" max="33" width="12" bestFit="1" customWidth="1"/>
    <col min="37" max="37" width="11.26171875" customWidth="1"/>
  </cols>
  <sheetData>
    <row r="1" spans="1:31" x14ac:dyDescent="0.55000000000000004">
      <c r="A1" s="43" t="s">
        <v>14</v>
      </c>
      <c r="B1" s="43" t="s">
        <v>15</v>
      </c>
      <c r="C1" s="43"/>
      <c r="D1" s="43"/>
      <c r="E1" s="43" t="s">
        <v>16</v>
      </c>
      <c r="F1" s="43"/>
      <c r="G1" s="43"/>
      <c r="H1" s="43" t="s">
        <v>17</v>
      </c>
      <c r="I1" s="43"/>
      <c r="J1" s="43"/>
      <c r="K1" s="4"/>
    </row>
    <row r="2" spans="1:31" ht="16.2" x14ac:dyDescent="0.55000000000000004">
      <c r="A2" s="43"/>
      <c r="B2" s="3" t="s">
        <v>18</v>
      </c>
      <c r="C2" s="3" t="s">
        <v>19</v>
      </c>
      <c r="D2" s="3" t="s">
        <v>20</v>
      </c>
      <c r="E2" s="3" t="s">
        <v>21</v>
      </c>
      <c r="F2" s="3" t="s">
        <v>22</v>
      </c>
      <c r="G2" s="3" t="s">
        <v>20</v>
      </c>
      <c r="H2" s="3" t="s">
        <v>23</v>
      </c>
      <c r="I2" s="3" t="s">
        <v>24</v>
      </c>
      <c r="J2" s="3" t="s">
        <v>20</v>
      </c>
      <c r="K2" s="4"/>
      <c r="L2" t="s">
        <v>25</v>
      </c>
      <c r="AE2" s="5"/>
    </row>
    <row r="3" spans="1:31" x14ac:dyDescent="0.55000000000000004">
      <c r="A3" s="6" t="s">
        <v>26</v>
      </c>
      <c r="B3" s="7" t="s">
        <v>27</v>
      </c>
      <c r="C3" s="7" t="s">
        <v>28</v>
      </c>
      <c r="D3" s="7" t="s">
        <v>29</v>
      </c>
      <c r="E3" s="7" t="s">
        <v>30</v>
      </c>
      <c r="F3" s="7" t="s">
        <v>31</v>
      </c>
      <c r="G3" s="8">
        <v>0.47599999999999998</v>
      </c>
      <c r="H3" s="9" t="s">
        <v>32</v>
      </c>
      <c r="I3" s="7" t="s">
        <v>33</v>
      </c>
      <c r="J3" s="8">
        <v>6.0000000000000001E-3</v>
      </c>
      <c r="K3" s="10"/>
    </row>
    <row r="4" spans="1:31" x14ac:dyDescent="0.55000000000000004">
      <c r="A4" s="6" t="s">
        <v>34</v>
      </c>
      <c r="B4" s="7" t="s">
        <v>35</v>
      </c>
      <c r="C4" s="7" t="s">
        <v>36</v>
      </c>
      <c r="D4" s="7" t="s">
        <v>29</v>
      </c>
      <c r="E4" s="7" t="s">
        <v>37</v>
      </c>
      <c r="F4" s="7" t="s">
        <v>38</v>
      </c>
      <c r="G4" s="7" t="s">
        <v>29</v>
      </c>
      <c r="H4" s="7" t="s">
        <v>39</v>
      </c>
      <c r="I4" s="7" t="s">
        <v>40</v>
      </c>
      <c r="J4" s="7" t="s">
        <v>29</v>
      </c>
      <c r="K4" s="10"/>
    </row>
    <row r="5" spans="1:31" x14ac:dyDescent="0.55000000000000004">
      <c r="A5" s="6" t="s">
        <v>41</v>
      </c>
      <c r="B5" s="7" t="s">
        <v>42</v>
      </c>
      <c r="C5" s="7" t="s">
        <v>43</v>
      </c>
      <c r="D5" s="7" t="s">
        <v>29</v>
      </c>
      <c r="E5" s="7" t="s">
        <v>44</v>
      </c>
      <c r="F5" s="7" t="s">
        <v>45</v>
      </c>
      <c r="G5" s="7" t="s">
        <v>29</v>
      </c>
      <c r="H5" s="7" t="s">
        <v>46</v>
      </c>
      <c r="I5" s="7" t="s">
        <v>47</v>
      </c>
      <c r="J5" s="7" t="s">
        <v>29</v>
      </c>
      <c r="K5" s="10"/>
    </row>
    <row r="6" spans="1:31" x14ac:dyDescent="0.55000000000000004">
      <c r="A6" s="6" t="s">
        <v>48</v>
      </c>
      <c r="B6" s="7" t="s">
        <v>49</v>
      </c>
      <c r="C6" s="7" t="s">
        <v>50</v>
      </c>
      <c r="D6" s="7" t="s">
        <v>29</v>
      </c>
      <c r="E6" s="7" t="s">
        <v>51</v>
      </c>
      <c r="F6" s="7" t="s">
        <v>52</v>
      </c>
      <c r="G6" s="7" t="s">
        <v>29</v>
      </c>
      <c r="H6" s="7" t="s">
        <v>53</v>
      </c>
      <c r="I6" s="7" t="s">
        <v>54</v>
      </c>
      <c r="J6" s="7" t="s">
        <v>29</v>
      </c>
      <c r="K6" s="10"/>
    </row>
    <row r="9" spans="1:31" x14ac:dyDescent="0.55000000000000004">
      <c r="A9" s="43" t="s">
        <v>14</v>
      </c>
      <c r="B9" s="43" t="s">
        <v>15</v>
      </c>
      <c r="C9" s="43"/>
      <c r="D9" s="43"/>
      <c r="E9" s="43" t="s">
        <v>16</v>
      </c>
      <c r="F9" s="43"/>
      <c r="G9" s="43"/>
      <c r="H9" s="43" t="s">
        <v>17</v>
      </c>
      <c r="I9" s="43"/>
      <c r="J9" s="43"/>
      <c r="K9" s="4"/>
    </row>
    <row r="10" spans="1:31" ht="16.2" x14ac:dyDescent="0.55000000000000004">
      <c r="A10" s="43"/>
      <c r="B10" s="3" t="s">
        <v>18</v>
      </c>
      <c r="C10" s="3" t="s">
        <v>19</v>
      </c>
      <c r="D10" s="3" t="s">
        <v>20</v>
      </c>
      <c r="E10" s="3" t="s">
        <v>21</v>
      </c>
      <c r="F10" s="3" t="s">
        <v>22</v>
      </c>
      <c r="G10" s="3" t="s">
        <v>20</v>
      </c>
      <c r="H10" s="3" t="s">
        <v>23</v>
      </c>
      <c r="I10" s="3" t="s">
        <v>24</v>
      </c>
      <c r="J10" s="3" t="s">
        <v>20</v>
      </c>
      <c r="K10" s="4"/>
      <c r="L10" t="s">
        <v>55</v>
      </c>
    </row>
    <row r="11" spans="1:31" x14ac:dyDescent="0.55000000000000004">
      <c r="A11" s="6" t="s">
        <v>26</v>
      </c>
      <c r="B11" s="7" t="s">
        <v>56</v>
      </c>
      <c r="C11" s="7" t="s">
        <v>57</v>
      </c>
      <c r="D11" s="8">
        <v>0.60399999999999998</v>
      </c>
      <c r="E11" s="7" t="s">
        <v>58</v>
      </c>
      <c r="F11" s="7" t="s">
        <v>59</v>
      </c>
      <c r="G11" s="8">
        <v>1E-3</v>
      </c>
      <c r="H11" s="7" t="s">
        <v>60</v>
      </c>
      <c r="I11" s="7" t="s">
        <v>61</v>
      </c>
      <c r="J11" s="8">
        <v>3.1E-2</v>
      </c>
      <c r="K11" s="11"/>
    </row>
    <row r="12" spans="1:31" x14ac:dyDescent="0.55000000000000004">
      <c r="A12" s="6" t="s">
        <v>34</v>
      </c>
      <c r="B12" s="7" t="s">
        <v>62</v>
      </c>
      <c r="C12" s="7" t="s">
        <v>63</v>
      </c>
      <c r="D12" s="7" t="s">
        <v>29</v>
      </c>
      <c r="E12" s="9" t="s">
        <v>64</v>
      </c>
      <c r="F12" s="7" t="s">
        <v>65</v>
      </c>
      <c r="G12" s="8">
        <v>0.01</v>
      </c>
      <c r="H12" s="9" t="s">
        <v>66</v>
      </c>
      <c r="I12" s="7" t="s">
        <v>67</v>
      </c>
      <c r="J12" s="7" t="s">
        <v>29</v>
      </c>
      <c r="K12" s="11"/>
    </row>
    <row r="13" spans="1:31" x14ac:dyDescent="0.55000000000000004">
      <c r="A13" s="6" t="s">
        <v>41</v>
      </c>
      <c r="B13" s="7" t="s">
        <v>68</v>
      </c>
      <c r="C13" s="7" t="s">
        <v>69</v>
      </c>
      <c r="D13" s="7" t="s">
        <v>29</v>
      </c>
      <c r="E13" s="7" t="s">
        <v>70</v>
      </c>
      <c r="F13" s="7" t="s">
        <v>71</v>
      </c>
      <c r="G13" s="7" t="s">
        <v>29</v>
      </c>
      <c r="H13" s="7" t="s">
        <v>72</v>
      </c>
      <c r="I13" s="7" t="s">
        <v>73</v>
      </c>
      <c r="J13" s="7" t="s">
        <v>29</v>
      </c>
      <c r="K13" s="11"/>
    </row>
    <row r="14" spans="1:31" x14ac:dyDescent="0.55000000000000004">
      <c r="A14" s="6" t="s">
        <v>48</v>
      </c>
      <c r="B14" s="7" t="s">
        <v>74</v>
      </c>
      <c r="C14" s="7" t="s">
        <v>75</v>
      </c>
      <c r="D14" s="7" t="s">
        <v>29</v>
      </c>
      <c r="E14" s="7" t="s">
        <v>76</v>
      </c>
      <c r="F14" s="7" t="s">
        <v>77</v>
      </c>
      <c r="G14" s="7" t="s">
        <v>29</v>
      </c>
      <c r="H14" s="7" t="s">
        <v>78</v>
      </c>
      <c r="I14" s="7" t="s">
        <v>79</v>
      </c>
      <c r="J14" s="7" t="s">
        <v>29</v>
      </c>
      <c r="K14" s="10"/>
    </row>
    <row r="17" spans="1:18" x14ac:dyDescent="0.55000000000000004">
      <c r="A17" s="4"/>
      <c r="B17" s="43" t="s">
        <v>80</v>
      </c>
      <c r="C17" s="43" t="s">
        <v>14</v>
      </c>
      <c r="D17" s="44" t="s">
        <v>81</v>
      </c>
      <c r="E17" s="46" t="s">
        <v>82</v>
      </c>
      <c r="F17" s="47"/>
      <c r="G17" s="47"/>
      <c r="H17" s="48"/>
      <c r="I17" s="49" t="s">
        <v>83</v>
      </c>
      <c r="J17" s="50"/>
      <c r="K17" s="50"/>
      <c r="L17" s="51"/>
      <c r="M17" s="49" t="s">
        <v>84</v>
      </c>
      <c r="N17" s="50"/>
      <c r="O17" s="50"/>
      <c r="P17" s="51"/>
    </row>
    <row r="18" spans="1:18" x14ac:dyDescent="0.55000000000000004">
      <c r="A18" s="13"/>
      <c r="B18" s="43"/>
      <c r="C18" s="43"/>
      <c r="D18" s="45"/>
      <c r="E18" s="49" t="s">
        <v>85</v>
      </c>
      <c r="F18" s="50"/>
      <c r="G18" s="51"/>
      <c r="H18" s="3" t="s">
        <v>20</v>
      </c>
      <c r="I18" s="49" t="s">
        <v>85</v>
      </c>
      <c r="J18" s="50"/>
      <c r="K18" s="51"/>
      <c r="L18" s="3" t="s">
        <v>20</v>
      </c>
      <c r="M18" s="49" t="s">
        <v>85</v>
      </c>
      <c r="N18" s="50"/>
      <c r="O18" s="51"/>
      <c r="P18" s="3" t="s">
        <v>20</v>
      </c>
      <c r="R18" t="s">
        <v>86</v>
      </c>
    </row>
    <row r="19" spans="1:18" x14ac:dyDescent="0.55000000000000004">
      <c r="A19" s="55" t="s">
        <v>87</v>
      </c>
      <c r="B19" s="57" t="s">
        <v>88</v>
      </c>
      <c r="C19" s="57" t="s">
        <v>26</v>
      </c>
      <c r="D19" s="13" t="s">
        <v>89</v>
      </c>
      <c r="E19" s="52" t="s">
        <v>90</v>
      </c>
      <c r="F19" s="53">
        <v>0.216</v>
      </c>
      <c r="G19" s="54" t="s">
        <v>90</v>
      </c>
      <c r="H19" s="8">
        <v>0.216</v>
      </c>
      <c r="I19" s="52" t="s">
        <v>91</v>
      </c>
      <c r="J19" s="53">
        <v>8.5000000000000006E-2</v>
      </c>
      <c r="K19" s="54" t="s">
        <v>91</v>
      </c>
      <c r="L19" s="8">
        <v>8.5000000000000006E-2</v>
      </c>
      <c r="M19" s="52" t="s">
        <v>92</v>
      </c>
      <c r="N19" s="53">
        <v>2.3E-2</v>
      </c>
      <c r="O19" s="54" t="s">
        <v>92</v>
      </c>
      <c r="P19" s="8">
        <v>2.3E-2</v>
      </c>
    </row>
    <row r="20" spans="1:18" x14ac:dyDescent="0.55000000000000004">
      <c r="A20" s="55"/>
      <c r="B20" s="57"/>
      <c r="C20" s="45"/>
      <c r="D20" s="12" t="s">
        <v>93</v>
      </c>
      <c r="E20" s="52" t="s">
        <v>94</v>
      </c>
      <c r="F20" s="53">
        <v>5.0000000000000001E-3</v>
      </c>
      <c r="G20" s="54" t="s">
        <v>94</v>
      </c>
      <c r="H20" s="8">
        <v>5.0000000000000001E-3</v>
      </c>
      <c r="I20" s="52" t="s">
        <v>95</v>
      </c>
      <c r="J20" s="53">
        <v>2.5999999999999999E-2</v>
      </c>
      <c r="K20" s="54" t="s">
        <v>95</v>
      </c>
      <c r="L20" s="8">
        <v>2.5999999999999999E-2</v>
      </c>
      <c r="M20" s="52" t="s">
        <v>96</v>
      </c>
      <c r="N20" s="53">
        <v>0.35099999999999998</v>
      </c>
      <c r="O20" s="54" t="s">
        <v>96</v>
      </c>
      <c r="P20" s="8">
        <v>0.35099999999999998</v>
      </c>
    </row>
    <row r="21" spans="1:18" x14ac:dyDescent="0.55000000000000004">
      <c r="A21" s="55"/>
      <c r="B21" s="57"/>
      <c r="C21" s="57" t="s">
        <v>34</v>
      </c>
      <c r="D21" s="13" t="s">
        <v>89</v>
      </c>
      <c r="E21" s="52" t="s">
        <v>97</v>
      </c>
      <c r="F21" s="53" t="s">
        <v>97</v>
      </c>
      <c r="G21" s="54" t="s">
        <v>97</v>
      </c>
      <c r="H21" s="8" t="s">
        <v>29</v>
      </c>
      <c r="I21" s="52" t="s">
        <v>98</v>
      </c>
      <c r="J21" s="53">
        <v>0</v>
      </c>
      <c r="K21" s="54" t="s">
        <v>98</v>
      </c>
      <c r="L21" s="8" t="s">
        <v>29</v>
      </c>
      <c r="M21" s="52" t="s">
        <v>99</v>
      </c>
      <c r="N21" s="53">
        <v>0</v>
      </c>
      <c r="O21" s="54" t="s">
        <v>99</v>
      </c>
      <c r="P21" s="8" t="s">
        <v>29</v>
      </c>
    </row>
    <row r="22" spans="1:18" x14ac:dyDescent="0.55000000000000004">
      <c r="A22" s="55"/>
      <c r="B22" s="57"/>
      <c r="C22" s="45"/>
      <c r="D22" s="12" t="s">
        <v>93</v>
      </c>
      <c r="E22" s="52" t="s">
        <v>100</v>
      </c>
      <c r="F22" s="53" t="s">
        <v>100</v>
      </c>
      <c r="G22" s="54" t="s">
        <v>100</v>
      </c>
      <c r="H22" s="8" t="s">
        <v>29</v>
      </c>
      <c r="I22" s="52" t="s">
        <v>101</v>
      </c>
      <c r="J22" s="53">
        <v>0</v>
      </c>
      <c r="K22" s="54" t="s">
        <v>101</v>
      </c>
      <c r="L22" s="8" t="s">
        <v>29</v>
      </c>
      <c r="M22" s="52" t="s">
        <v>102</v>
      </c>
      <c r="N22" s="53">
        <v>0</v>
      </c>
      <c r="O22" s="54" t="s">
        <v>102</v>
      </c>
      <c r="P22" s="8" t="s">
        <v>29</v>
      </c>
    </row>
    <row r="23" spans="1:18" x14ac:dyDescent="0.55000000000000004">
      <c r="A23" s="55"/>
      <c r="B23" s="57"/>
      <c r="C23" s="57" t="s">
        <v>41</v>
      </c>
      <c r="D23" s="13" t="s">
        <v>89</v>
      </c>
      <c r="E23" s="52" t="s">
        <v>103</v>
      </c>
      <c r="F23" s="53" t="s">
        <v>103</v>
      </c>
      <c r="G23" s="54" t="s">
        <v>103</v>
      </c>
      <c r="H23" s="8" t="s">
        <v>29</v>
      </c>
      <c r="I23" s="52" t="s">
        <v>104</v>
      </c>
      <c r="J23" s="53">
        <v>0</v>
      </c>
      <c r="K23" s="54" t="s">
        <v>104</v>
      </c>
      <c r="L23" s="8" t="s">
        <v>29</v>
      </c>
      <c r="M23" s="52" t="s">
        <v>105</v>
      </c>
      <c r="N23" s="53">
        <v>0</v>
      </c>
      <c r="O23" s="54" t="s">
        <v>105</v>
      </c>
      <c r="P23" s="8" t="s">
        <v>29</v>
      </c>
    </row>
    <row r="24" spans="1:18" x14ac:dyDescent="0.55000000000000004">
      <c r="A24" s="55"/>
      <c r="B24" s="57"/>
      <c r="C24" s="45"/>
      <c r="D24" s="12" t="s">
        <v>93</v>
      </c>
      <c r="E24" s="52" t="s">
        <v>106</v>
      </c>
      <c r="F24" s="53" t="s">
        <v>106</v>
      </c>
      <c r="G24" s="54" t="s">
        <v>106</v>
      </c>
      <c r="H24" s="8" t="s">
        <v>29</v>
      </c>
      <c r="I24" s="52" t="s">
        <v>107</v>
      </c>
      <c r="J24" s="53">
        <v>0</v>
      </c>
      <c r="K24" s="54" t="s">
        <v>107</v>
      </c>
      <c r="L24" s="8" t="s">
        <v>29</v>
      </c>
      <c r="M24" s="52" t="s">
        <v>108</v>
      </c>
      <c r="N24" s="53">
        <v>0</v>
      </c>
      <c r="O24" s="54" t="s">
        <v>108</v>
      </c>
      <c r="P24" s="8" t="s">
        <v>29</v>
      </c>
    </row>
    <row r="25" spans="1:18" x14ac:dyDescent="0.55000000000000004">
      <c r="A25" s="55"/>
      <c r="B25" s="57"/>
      <c r="C25" s="57" t="s">
        <v>48</v>
      </c>
      <c r="D25" s="13" t="s">
        <v>89</v>
      </c>
      <c r="E25" s="52" t="s">
        <v>109</v>
      </c>
      <c r="F25" s="53">
        <v>3.0000000000000001E-3</v>
      </c>
      <c r="G25" s="54" t="s">
        <v>109</v>
      </c>
      <c r="H25" s="8">
        <v>3.0000000000000001E-3</v>
      </c>
      <c r="I25" s="52" t="s">
        <v>110</v>
      </c>
      <c r="J25" s="53">
        <v>0</v>
      </c>
      <c r="K25" s="54" t="s">
        <v>110</v>
      </c>
      <c r="L25" s="8" t="s">
        <v>29</v>
      </c>
      <c r="M25" s="52" t="s">
        <v>111</v>
      </c>
      <c r="N25" s="53">
        <v>0</v>
      </c>
      <c r="O25" s="54" t="s">
        <v>111</v>
      </c>
      <c r="P25" s="8" t="s">
        <v>29</v>
      </c>
    </row>
    <row r="26" spans="1:18" x14ac:dyDescent="0.55000000000000004">
      <c r="A26" s="55"/>
      <c r="B26" s="45"/>
      <c r="C26" s="45"/>
      <c r="D26" s="12" t="s">
        <v>93</v>
      </c>
      <c r="E26" s="52" t="s">
        <v>112</v>
      </c>
      <c r="F26" s="53">
        <v>0</v>
      </c>
      <c r="G26" s="54" t="s">
        <v>112</v>
      </c>
      <c r="H26" s="8" t="s">
        <v>29</v>
      </c>
      <c r="I26" s="52" t="s">
        <v>113</v>
      </c>
      <c r="J26" s="53">
        <v>0</v>
      </c>
      <c r="K26" s="54" t="s">
        <v>113</v>
      </c>
      <c r="L26" s="8" t="s">
        <v>29</v>
      </c>
      <c r="M26" s="52" t="s">
        <v>114</v>
      </c>
      <c r="N26" s="53">
        <v>0</v>
      </c>
      <c r="O26" s="54" t="s">
        <v>114</v>
      </c>
      <c r="P26" s="8" t="s">
        <v>29</v>
      </c>
    </row>
    <row r="27" spans="1:18" x14ac:dyDescent="0.55000000000000004">
      <c r="A27" s="55"/>
      <c r="B27" s="57" t="s">
        <v>115</v>
      </c>
      <c r="C27" s="57" t="s">
        <v>26</v>
      </c>
      <c r="D27" s="13" t="s">
        <v>89</v>
      </c>
      <c r="E27" s="52" t="s">
        <v>116</v>
      </c>
      <c r="F27" s="53">
        <v>0.39700000000000002</v>
      </c>
      <c r="G27" s="54" t="s">
        <v>116</v>
      </c>
      <c r="H27" s="8">
        <v>0.39700000000000002</v>
      </c>
      <c r="I27" s="52" t="s">
        <v>117</v>
      </c>
      <c r="J27" s="53">
        <v>0.59</v>
      </c>
      <c r="K27" s="54" t="s">
        <v>117</v>
      </c>
      <c r="L27" s="8">
        <v>0.59</v>
      </c>
      <c r="M27" s="52" t="s">
        <v>118</v>
      </c>
      <c r="N27" s="53">
        <v>0.29099999999999998</v>
      </c>
      <c r="O27" s="54" t="s">
        <v>118</v>
      </c>
      <c r="P27" s="8">
        <v>0.29099999999999998</v>
      </c>
    </row>
    <row r="28" spans="1:18" x14ac:dyDescent="0.55000000000000004">
      <c r="A28" s="55"/>
      <c r="B28" s="57"/>
      <c r="C28" s="45"/>
      <c r="D28" s="12" t="s">
        <v>93</v>
      </c>
      <c r="E28" s="52" t="s">
        <v>119</v>
      </c>
      <c r="F28" s="53">
        <v>0.97799999999999998</v>
      </c>
      <c r="G28" s="54" t="s">
        <v>119</v>
      </c>
      <c r="H28" s="8">
        <v>0.97799999999999998</v>
      </c>
      <c r="I28" s="52" t="s">
        <v>120</v>
      </c>
      <c r="J28" s="53">
        <v>0.623</v>
      </c>
      <c r="K28" s="54" t="s">
        <v>120</v>
      </c>
      <c r="L28" s="8">
        <v>0.623</v>
      </c>
      <c r="M28" s="52" t="s">
        <v>121</v>
      </c>
      <c r="N28" s="53">
        <v>0.75</v>
      </c>
      <c r="O28" s="54" t="s">
        <v>121</v>
      </c>
      <c r="P28" s="8">
        <v>0.75</v>
      </c>
    </row>
    <row r="29" spans="1:18" x14ac:dyDescent="0.55000000000000004">
      <c r="A29" s="55"/>
      <c r="B29" s="57"/>
      <c r="C29" s="57" t="s">
        <v>34</v>
      </c>
      <c r="D29" s="13" t="s">
        <v>89</v>
      </c>
      <c r="E29" s="52" t="s">
        <v>122</v>
      </c>
      <c r="F29" s="53" t="s">
        <v>122</v>
      </c>
      <c r="G29" s="54" t="s">
        <v>122</v>
      </c>
      <c r="H29" s="8" t="s">
        <v>29</v>
      </c>
      <c r="I29" s="52" t="s">
        <v>123</v>
      </c>
      <c r="J29" s="53">
        <v>0</v>
      </c>
      <c r="K29" s="54" t="s">
        <v>123</v>
      </c>
      <c r="L29" s="8" t="s">
        <v>29</v>
      </c>
      <c r="M29" s="52" t="s">
        <v>124</v>
      </c>
      <c r="N29" s="53">
        <v>0</v>
      </c>
      <c r="O29" s="54" t="s">
        <v>124</v>
      </c>
      <c r="P29" s="8" t="s">
        <v>29</v>
      </c>
    </row>
    <row r="30" spans="1:18" x14ac:dyDescent="0.55000000000000004">
      <c r="A30" s="55"/>
      <c r="B30" s="57"/>
      <c r="C30" s="45"/>
      <c r="D30" s="12" t="s">
        <v>93</v>
      </c>
      <c r="E30" s="52" t="s">
        <v>125</v>
      </c>
      <c r="F30" s="53" t="s">
        <v>125</v>
      </c>
      <c r="G30" s="54" t="s">
        <v>125</v>
      </c>
      <c r="H30" s="8" t="s">
        <v>29</v>
      </c>
      <c r="I30" s="52" t="s">
        <v>126</v>
      </c>
      <c r="J30" s="53">
        <v>0</v>
      </c>
      <c r="K30" s="54" t="s">
        <v>126</v>
      </c>
      <c r="L30" s="8" t="s">
        <v>29</v>
      </c>
      <c r="M30" s="52" t="s">
        <v>127</v>
      </c>
      <c r="N30" s="53">
        <v>0</v>
      </c>
      <c r="O30" s="54" t="s">
        <v>127</v>
      </c>
      <c r="P30" s="8" t="s">
        <v>29</v>
      </c>
    </row>
    <row r="31" spans="1:18" x14ac:dyDescent="0.55000000000000004">
      <c r="A31" s="55"/>
      <c r="B31" s="57"/>
      <c r="C31" s="57" t="s">
        <v>41</v>
      </c>
      <c r="D31" s="13" t="s">
        <v>89</v>
      </c>
      <c r="E31" s="52" t="s">
        <v>128</v>
      </c>
      <c r="F31" s="53" t="s">
        <v>128</v>
      </c>
      <c r="G31" s="54" t="s">
        <v>128</v>
      </c>
      <c r="H31" s="8" t="s">
        <v>29</v>
      </c>
      <c r="I31" s="52" t="s">
        <v>129</v>
      </c>
      <c r="J31" s="53">
        <v>0</v>
      </c>
      <c r="K31" s="54" t="s">
        <v>129</v>
      </c>
      <c r="L31" s="8" t="s">
        <v>29</v>
      </c>
      <c r="M31" s="52" t="s">
        <v>130</v>
      </c>
      <c r="N31" s="53">
        <v>0</v>
      </c>
      <c r="O31" s="54" t="s">
        <v>130</v>
      </c>
      <c r="P31" s="8" t="s">
        <v>29</v>
      </c>
    </row>
    <row r="32" spans="1:18" x14ac:dyDescent="0.55000000000000004">
      <c r="A32" s="55"/>
      <c r="B32" s="57"/>
      <c r="C32" s="45"/>
      <c r="D32" s="12" t="s">
        <v>93</v>
      </c>
      <c r="E32" s="52" t="s">
        <v>131</v>
      </c>
      <c r="F32" s="53" t="s">
        <v>131</v>
      </c>
      <c r="G32" s="54" t="s">
        <v>131</v>
      </c>
      <c r="H32" s="8" t="s">
        <v>29</v>
      </c>
      <c r="I32" s="52" t="s">
        <v>132</v>
      </c>
      <c r="J32" s="53">
        <v>0</v>
      </c>
      <c r="K32" s="54" t="s">
        <v>132</v>
      </c>
      <c r="L32" s="8" t="s">
        <v>29</v>
      </c>
      <c r="M32" s="52" t="s">
        <v>133</v>
      </c>
      <c r="N32" s="53">
        <v>0</v>
      </c>
      <c r="O32" s="54" t="s">
        <v>133</v>
      </c>
      <c r="P32" s="8" t="s">
        <v>29</v>
      </c>
    </row>
    <row r="33" spans="1:16" x14ac:dyDescent="0.55000000000000004">
      <c r="A33" s="55"/>
      <c r="B33" s="57"/>
      <c r="C33" s="57" t="s">
        <v>48</v>
      </c>
      <c r="D33" s="13" t="s">
        <v>89</v>
      </c>
      <c r="E33" s="52" t="s">
        <v>134</v>
      </c>
      <c r="F33" s="53">
        <v>0.79800000000000004</v>
      </c>
      <c r="G33" s="54" t="s">
        <v>134</v>
      </c>
      <c r="H33" s="8">
        <v>0.79800000000000004</v>
      </c>
      <c r="I33" s="52" t="s">
        <v>135</v>
      </c>
      <c r="J33" s="53">
        <v>4.7E-2</v>
      </c>
      <c r="K33" s="54" t="s">
        <v>135</v>
      </c>
      <c r="L33" s="8">
        <v>4.7E-2</v>
      </c>
      <c r="M33" s="52" t="s">
        <v>136</v>
      </c>
      <c r="N33" s="53">
        <v>0.316</v>
      </c>
      <c r="O33" s="54" t="s">
        <v>136</v>
      </c>
      <c r="P33" s="8">
        <v>0.316</v>
      </c>
    </row>
    <row r="34" spans="1:16" x14ac:dyDescent="0.55000000000000004">
      <c r="A34" s="56"/>
      <c r="B34" s="45"/>
      <c r="C34" s="45"/>
      <c r="D34" s="12" t="s">
        <v>93</v>
      </c>
      <c r="E34" s="52" t="s">
        <v>137</v>
      </c>
      <c r="F34" s="53">
        <v>0</v>
      </c>
      <c r="G34" s="54" t="s">
        <v>137</v>
      </c>
      <c r="H34" s="8" t="s">
        <v>29</v>
      </c>
      <c r="I34" s="52" t="s">
        <v>138</v>
      </c>
      <c r="J34" s="53">
        <v>0</v>
      </c>
      <c r="K34" s="54" t="s">
        <v>138</v>
      </c>
      <c r="L34" s="8" t="s">
        <v>29</v>
      </c>
      <c r="M34" s="52" t="s">
        <v>139</v>
      </c>
      <c r="N34" s="53">
        <v>0</v>
      </c>
      <c r="O34" s="54" t="s">
        <v>139</v>
      </c>
      <c r="P34" s="8" t="s">
        <v>29</v>
      </c>
    </row>
    <row r="35" spans="1:16" x14ac:dyDescent="0.55000000000000004">
      <c r="A35" s="55" t="s">
        <v>140</v>
      </c>
      <c r="B35" s="57" t="s">
        <v>88</v>
      </c>
      <c r="C35" s="57" t="s">
        <v>26</v>
      </c>
      <c r="D35" s="13" t="s">
        <v>89</v>
      </c>
      <c r="E35" s="52" t="s">
        <v>141</v>
      </c>
      <c r="F35" s="53">
        <v>0</v>
      </c>
      <c r="G35" s="54" t="s">
        <v>141</v>
      </c>
      <c r="H35" s="8" t="s">
        <v>29</v>
      </c>
      <c r="I35" s="52" t="s">
        <v>142</v>
      </c>
      <c r="J35" s="53">
        <v>0</v>
      </c>
      <c r="K35" s="54" t="s">
        <v>142</v>
      </c>
      <c r="L35" s="8" t="s">
        <v>29</v>
      </c>
      <c r="M35" s="52" t="s">
        <v>143</v>
      </c>
      <c r="N35" s="53">
        <v>0</v>
      </c>
      <c r="O35" s="54" t="s">
        <v>143</v>
      </c>
      <c r="P35" s="8" t="s">
        <v>29</v>
      </c>
    </row>
    <row r="36" spans="1:16" x14ac:dyDescent="0.55000000000000004">
      <c r="A36" s="55"/>
      <c r="B36" s="57"/>
      <c r="C36" s="45"/>
      <c r="D36" s="12" t="s">
        <v>93</v>
      </c>
      <c r="E36" s="52" t="s">
        <v>144</v>
      </c>
      <c r="F36" s="53">
        <v>9.7000000000000003E-2</v>
      </c>
      <c r="G36" s="54" t="s">
        <v>144</v>
      </c>
      <c r="H36" s="8">
        <v>9.7000000000000003E-2</v>
      </c>
      <c r="I36" s="52" t="s">
        <v>145</v>
      </c>
      <c r="J36" s="53">
        <v>2.4E-2</v>
      </c>
      <c r="K36" s="54" t="s">
        <v>145</v>
      </c>
      <c r="L36" s="8">
        <v>2.4E-2</v>
      </c>
      <c r="M36" s="52" t="s">
        <v>146</v>
      </c>
      <c r="N36" s="53">
        <v>3.0000000000000001E-3</v>
      </c>
      <c r="O36" s="54" t="s">
        <v>146</v>
      </c>
      <c r="P36" s="8">
        <v>3.0000000000000001E-3</v>
      </c>
    </row>
    <row r="37" spans="1:16" x14ac:dyDescent="0.55000000000000004">
      <c r="A37" s="55"/>
      <c r="B37" s="57"/>
      <c r="C37" s="57" t="s">
        <v>34</v>
      </c>
      <c r="D37" s="13" t="s">
        <v>89</v>
      </c>
      <c r="E37" s="52" t="s">
        <v>147</v>
      </c>
      <c r="F37" s="53">
        <v>0</v>
      </c>
      <c r="G37" s="54" t="s">
        <v>147</v>
      </c>
      <c r="H37" s="8" t="s">
        <v>29</v>
      </c>
      <c r="I37" s="52" t="s">
        <v>148</v>
      </c>
      <c r="J37" s="53">
        <v>0</v>
      </c>
      <c r="K37" s="54" t="s">
        <v>148</v>
      </c>
      <c r="L37" s="8" t="s">
        <v>29</v>
      </c>
      <c r="M37" s="52" t="s">
        <v>149</v>
      </c>
      <c r="N37" s="53">
        <v>0</v>
      </c>
      <c r="O37" s="54" t="s">
        <v>149</v>
      </c>
      <c r="P37" s="8" t="s">
        <v>29</v>
      </c>
    </row>
    <row r="38" spans="1:16" x14ac:dyDescent="0.55000000000000004">
      <c r="A38" s="55"/>
      <c r="B38" s="57"/>
      <c r="C38" s="45"/>
      <c r="D38" s="12" t="s">
        <v>93</v>
      </c>
      <c r="E38" s="52" t="s">
        <v>150</v>
      </c>
      <c r="F38" s="53">
        <v>8.9999999999999993E-3</v>
      </c>
      <c r="G38" s="54" t="s">
        <v>150</v>
      </c>
      <c r="H38" s="8">
        <v>8.9999999999999993E-3</v>
      </c>
      <c r="I38" s="52" t="s">
        <v>151</v>
      </c>
      <c r="J38" s="53">
        <v>3.9E-2</v>
      </c>
      <c r="K38" s="54" t="s">
        <v>151</v>
      </c>
      <c r="L38" s="8">
        <v>3.9E-2</v>
      </c>
      <c r="M38" s="52" t="s">
        <v>152</v>
      </c>
      <c r="N38" s="53">
        <v>0.48199999999999998</v>
      </c>
      <c r="O38" s="54" t="s">
        <v>152</v>
      </c>
      <c r="P38" s="8">
        <v>0.48199999999999998</v>
      </c>
    </row>
    <row r="39" spans="1:16" x14ac:dyDescent="0.55000000000000004">
      <c r="A39" s="55"/>
      <c r="B39" s="57"/>
      <c r="C39" s="57" t="s">
        <v>41</v>
      </c>
      <c r="D39" s="13" t="s">
        <v>89</v>
      </c>
      <c r="E39" s="52" t="s">
        <v>153</v>
      </c>
      <c r="F39" s="53" t="s">
        <v>153</v>
      </c>
      <c r="G39" s="54" t="s">
        <v>153</v>
      </c>
      <c r="H39" s="8" t="s">
        <v>29</v>
      </c>
      <c r="I39" s="52" t="s">
        <v>154</v>
      </c>
      <c r="J39" s="53">
        <v>0</v>
      </c>
      <c r="K39" s="54" t="s">
        <v>154</v>
      </c>
      <c r="L39" s="8" t="s">
        <v>29</v>
      </c>
      <c r="M39" s="52" t="s">
        <v>155</v>
      </c>
      <c r="N39" s="53">
        <v>0</v>
      </c>
      <c r="O39" s="54" t="s">
        <v>155</v>
      </c>
      <c r="P39" s="8" t="s">
        <v>29</v>
      </c>
    </row>
    <row r="40" spans="1:16" x14ac:dyDescent="0.55000000000000004">
      <c r="A40" s="55"/>
      <c r="B40" s="57"/>
      <c r="C40" s="45"/>
      <c r="D40" s="12" t="s">
        <v>93</v>
      </c>
      <c r="E40" s="52" t="s">
        <v>156</v>
      </c>
      <c r="F40" s="53" t="s">
        <v>156</v>
      </c>
      <c r="G40" s="54" t="s">
        <v>156</v>
      </c>
      <c r="H40" s="8" t="s">
        <v>29</v>
      </c>
      <c r="I40" s="52" t="s">
        <v>157</v>
      </c>
      <c r="J40" s="53">
        <v>0</v>
      </c>
      <c r="K40" s="54" t="s">
        <v>157</v>
      </c>
      <c r="L40" s="8" t="s">
        <v>29</v>
      </c>
      <c r="M40" s="52" t="s">
        <v>158</v>
      </c>
      <c r="N40" s="53">
        <v>0</v>
      </c>
      <c r="O40" s="54" t="s">
        <v>158</v>
      </c>
      <c r="P40" s="8" t="s">
        <v>29</v>
      </c>
    </row>
    <row r="41" spans="1:16" x14ac:dyDescent="0.55000000000000004">
      <c r="A41" s="55"/>
      <c r="B41" s="57"/>
      <c r="C41" s="57" t="s">
        <v>48</v>
      </c>
      <c r="D41" s="13" t="s">
        <v>89</v>
      </c>
      <c r="E41" s="52" t="s">
        <v>159</v>
      </c>
      <c r="F41" s="53">
        <v>8.4000000000000005E-2</v>
      </c>
      <c r="G41" s="54" t="s">
        <v>159</v>
      </c>
      <c r="H41" s="8">
        <v>8.4000000000000005E-2</v>
      </c>
      <c r="I41" s="52" t="s">
        <v>160</v>
      </c>
      <c r="J41" s="53">
        <v>3.0000000000000001E-3</v>
      </c>
      <c r="K41" s="54" t="s">
        <v>160</v>
      </c>
      <c r="L41" s="8">
        <v>3.0000000000000001E-3</v>
      </c>
      <c r="M41" s="52" t="s">
        <v>161</v>
      </c>
      <c r="N41" s="53">
        <v>1E-3</v>
      </c>
      <c r="O41" s="54" t="s">
        <v>161</v>
      </c>
      <c r="P41" s="8">
        <v>1E-3</v>
      </c>
    </row>
    <row r="42" spans="1:16" x14ac:dyDescent="0.55000000000000004">
      <c r="A42" s="55"/>
      <c r="B42" s="45"/>
      <c r="C42" s="45"/>
      <c r="D42" s="12" t="s">
        <v>93</v>
      </c>
      <c r="E42" s="52" t="s">
        <v>162</v>
      </c>
      <c r="F42" s="53">
        <v>1E-3</v>
      </c>
      <c r="G42" s="54" t="s">
        <v>162</v>
      </c>
      <c r="H42" s="8">
        <v>1E-3</v>
      </c>
      <c r="I42" s="52" t="s">
        <v>163</v>
      </c>
      <c r="J42" s="53">
        <v>0.108</v>
      </c>
      <c r="K42" s="54" t="s">
        <v>163</v>
      </c>
      <c r="L42" s="8">
        <v>0.108</v>
      </c>
      <c r="M42" s="52" t="s">
        <v>164</v>
      </c>
      <c r="N42" s="53">
        <v>0</v>
      </c>
      <c r="O42" s="54" t="s">
        <v>164</v>
      </c>
      <c r="P42" s="8" t="s">
        <v>29</v>
      </c>
    </row>
    <row r="43" spans="1:16" x14ac:dyDescent="0.55000000000000004">
      <c r="A43" s="55"/>
      <c r="B43" s="57" t="s">
        <v>115</v>
      </c>
      <c r="C43" s="57" t="s">
        <v>26</v>
      </c>
      <c r="D43" s="13" t="s">
        <v>89</v>
      </c>
      <c r="E43" s="52" t="s">
        <v>165</v>
      </c>
      <c r="F43" s="53">
        <v>4.0000000000000001E-3</v>
      </c>
      <c r="G43" s="54" t="s">
        <v>165</v>
      </c>
      <c r="H43" s="8">
        <v>4.0000000000000001E-3</v>
      </c>
      <c r="I43" s="52" t="s">
        <v>166</v>
      </c>
      <c r="J43" s="53">
        <v>0.13400000000000001</v>
      </c>
      <c r="K43" s="54" t="s">
        <v>166</v>
      </c>
      <c r="L43" s="8">
        <v>0.13400000000000001</v>
      </c>
      <c r="M43" s="52" t="s">
        <v>167</v>
      </c>
      <c r="N43" s="53">
        <v>5.1999999999999998E-2</v>
      </c>
      <c r="O43" s="54" t="s">
        <v>167</v>
      </c>
      <c r="P43" s="8">
        <v>5.1999999999999998E-2</v>
      </c>
    </row>
    <row r="44" spans="1:16" x14ac:dyDescent="0.55000000000000004">
      <c r="A44" s="55"/>
      <c r="B44" s="57"/>
      <c r="C44" s="45"/>
      <c r="D44" s="12" t="s">
        <v>93</v>
      </c>
      <c r="E44" s="52" t="s">
        <v>168</v>
      </c>
      <c r="F44" s="53">
        <v>0</v>
      </c>
      <c r="G44" s="54" t="s">
        <v>168</v>
      </c>
      <c r="H44" s="8" t="s">
        <v>29</v>
      </c>
      <c r="I44" s="52" t="s">
        <v>169</v>
      </c>
      <c r="J44" s="53">
        <v>0</v>
      </c>
      <c r="K44" s="54" t="s">
        <v>169</v>
      </c>
      <c r="L44" s="8" t="s">
        <v>29</v>
      </c>
      <c r="M44" s="52" t="s">
        <v>170</v>
      </c>
      <c r="N44" s="53">
        <v>0</v>
      </c>
      <c r="O44" s="54" t="s">
        <v>170</v>
      </c>
      <c r="P44" s="8" t="s">
        <v>29</v>
      </c>
    </row>
    <row r="45" spans="1:16" x14ac:dyDescent="0.55000000000000004">
      <c r="A45" s="55"/>
      <c r="B45" s="57"/>
      <c r="C45" s="57" t="s">
        <v>34</v>
      </c>
      <c r="D45" s="13" t="s">
        <v>89</v>
      </c>
      <c r="E45" s="52" t="s">
        <v>171</v>
      </c>
      <c r="F45" s="53">
        <v>0</v>
      </c>
      <c r="G45" s="54" t="s">
        <v>171</v>
      </c>
      <c r="H45" s="8" t="s">
        <v>29</v>
      </c>
      <c r="I45" s="52" t="s">
        <v>172</v>
      </c>
      <c r="J45" s="53">
        <v>0</v>
      </c>
      <c r="K45" s="54" t="s">
        <v>172</v>
      </c>
      <c r="L45" s="8" t="s">
        <v>29</v>
      </c>
      <c r="M45" s="52" t="s">
        <v>173</v>
      </c>
      <c r="N45" s="53">
        <v>0</v>
      </c>
      <c r="O45" s="54" t="s">
        <v>173</v>
      </c>
      <c r="P45" s="8" t="s">
        <v>29</v>
      </c>
    </row>
    <row r="46" spans="1:16" x14ac:dyDescent="0.55000000000000004">
      <c r="A46" s="55"/>
      <c r="B46" s="57"/>
      <c r="C46" s="45"/>
      <c r="D46" s="12" t="s">
        <v>93</v>
      </c>
      <c r="E46" s="52" t="s">
        <v>174</v>
      </c>
      <c r="F46" s="53">
        <v>0.20799999999999999</v>
      </c>
      <c r="G46" s="54" t="s">
        <v>174</v>
      </c>
      <c r="H46" s="8">
        <v>0.20799999999999999</v>
      </c>
      <c r="I46" s="52" t="s">
        <v>175</v>
      </c>
      <c r="J46" s="53">
        <v>1.4E-2</v>
      </c>
      <c r="K46" s="54" t="s">
        <v>175</v>
      </c>
      <c r="L46" s="8">
        <v>1.4E-2</v>
      </c>
      <c r="M46" s="52" t="s">
        <v>176</v>
      </c>
      <c r="N46" s="53">
        <v>3.2000000000000001E-2</v>
      </c>
      <c r="O46" s="54" t="s">
        <v>176</v>
      </c>
      <c r="P46" s="8">
        <v>3.2000000000000001E-2</v>
      </c>
    </row>
    <row r="47" spans="1:16" x14ac:dyDescent="0.55000000000000004">
      <c r="A47" s="55"/>
      <c r="B47" s="57"/>
      <c r="C47" s="57" t="s">
        <v>41</v>
      </c>
      <c r="D47" s="13" t="s">
        <v>89</v>
      </c>
      <c r="E47" s="52" t="s">
        <v>177</v>
      </c>
      <c r="F47" s="53">
        <v>0.97799999999999998</v>
      </c>
      <c r="G47" s="54" t="s">
        <v>177</v>
      </c>
      <c r="H47" s="8">
        <v>0.97799999999999998</v>
      </c>
      <c r="I47" s="52" t="s">
        <v>178</v>
      </c>
      <c r="J47" s="53">
        <v>8.9999999999999993E-3</v>
      </c>
      <c r="K47" s="54" t="s">
        <v>178</v>
      </c>
      <c r="L47" s="8">
        <v>8.9999999999999993E-3</v>
      </c>
      <c r="M47" s="52" t="s">
        <v>179</v>
      </c>
      <c r="N47" s="53">
        <v>1.2999999999999999E-2</v>
      </c>
      <c r="O47" s="54" t="s">
        <v>179</v>
      </c>
      <c r="P47" s="8">
        <v>1.2E-2</v>
      </c>
    </row>
    <row r="48" spans="1:16" x14ac:dyDescent="0.55000000000000004">
      <c r="A48" s="55"/>
      <c r="B48" s="57"/>
      <c r="C48" s="45"/>
      <c r="D48" s="12" t="s">
        <v>93</v>
      </c>
      <c r="E48" s="52" t="s">
        <v>180</v>
      </c>
      <c r="F48" s="53">
        <v>0.28299999999999997</v>
      </c>
      <c r="G48" s="54" t="s">
        <v>180</v>
      </c>
      <c r="H48" s="8">
        <v>0.28299999999999997</v>
      </c>
      <c r="I48" s="52" t="s">
        <v>181</v>
      </c>
      <c r="J48" s="53">
        <v>0</v>
      </c>
      <c r="K48" s="54" t="s">
        <v>181</v>
      </c>
      <c r="L48" s="8" t="s">
        <v>29</v>
      </c>
      <c r="M48" s="52" t="s">
        <v>182</v>
      </c>
      <c r="N48" s="53">
        <v>0</v>
      </c>
      <c r="O48" s="54" t="s">
        <v>182</v>
      </c>
      <c r="P48" s="8" t="s">
        <v>29</v>
      </c>
    </row>
    <row r="49" spans="1:39" x14ac:dyDescent="0.55000000000000004">
      <c r="A49" s="55"/>
      <c r="B49" s="57"/>
      <c r="C49" s="57" t="s">
        <v>48</v>
      </c>
      <c r="D49" s="13" t="s">
        <v>89</v>
      </c>
      <c r="E49" s="52" t="s">
        <v>183</v>
      </c>
      <c r="F49" s="53">
        <v>0</v>
      </c>
      <c r="G49" s="54" t="s">
        <v>183</v>
      </c>
      <c r="H49" s="8" t="s">
        <v>29</v>
      </c>
      <c r="I49" s="52" t="s">
        <v>184</v>
      </c>
      <c r="J49" s="53">
        <v>1E-3</v>
      </c>
      <c r="K49" s="54" t="s">
        <v>184</v>
      </c>
      <c r="L49" s="8">
        <v>1E-3</v>
      </c>
      <c r="M49" s="52" t="s">
        <v>185</v>
      </c>
      <c r="N49" s="53">
        <v>0</v>
      </c>
      <c r="O49" s="54" t="s">
        <v>185</v>
      </c>
      <c r="P49" s="8" t="s">
        <v>29</v>
      </c>
    </row>
    <row r="50" spans="1:39" x14ac:dyDescent="0.55000000000000004">
      <c r="A50" s="56"/>
      <c r="B50" s="45"/>
      <c r="C50" s="45"/>
      <c r="D50" s="12" t="s">
        <v>93</v>
      </c>
      <c r="E50" s="52" t="s">
        <v>186</v>
      </c>
      <c r="F50" s="53">
        <v>1E-3</v>
      </c>
      <c r="G50" s="54" t="s">
        <v>186</v>
      </c>
      <c r="H50" s="8">
        <v>1E-3</v>
      </c>
      <c r="I50" s="52" t="s">
        <v>187</v>
      </c>
      <c r="J50" s="53">
        <v>1E-3</v>
      </c>
      <c r="K50" s="54" t="s">
        <v>187</v>
      </c>
      <c r="L50" s="8">
        <v>1E-3</v>
      </c>
      <c r="M50" s="52" t="s">
        <v>188</v>
      </c>
      <c r="N50" s="53">
        <v>0</v>
      </c>
      <c r="O50" s="54" t="s">
        <v>188</v>
      </c>
      <c r="P50" s="8" t="s">
        <v>29</v>
      </c>
    </row>
    <row r="53" spans="1:39" x14ac:dyDescent="0.55000000000000004">
      <c r="A53" s="58"/>
      <c r="B53" s="43" t="s">
        <v>80</v>
      </c>
      <c r="C53" s="43" t="s">
        <v>14</v>
      </c>
      <c r="D53" s="44" t="s">
        <v>81</v>
      </c>
      <c r="E53" s="49" t="s">
        <v>189</v>
      </c>
      <c r="F53" s="50"/>
      <c r="G53" s="50"/>
      <c r="H53" s="50"/>
      <c r="I53" s="51"/>
      <c r="J53" s="49" t="s">
        <v>190</v>
      </c>
      <c r="K53" s="50"/>
      <c r="L53" s="50"/>
      <c r="M53" s="51"/>
      <c r="N53" s="49" t="s">
        <v>191</v>
      </c>
      <c r="O53" s="50"/>
      <c r="P53" s="50"/>
      <c r="Q53" s="51"/>
      <c r="R53" s="49" t="s">
        <v>192</v>
      </c>
      <c r="S53" s="50"/>
      <c r="T53" s="50"/>
      <c r="U53" s="51"/>
      <c r="V53" s="49" t="s">
        <v>193</v>
      </c>
      <c r="W53" s="50"/>
      <c r="X53" s="50"/>
      <c r="Y53" s="51"/>
      <c r="Z53" s="49" t="s">
        <v>194</v>
      </c>
      <c r="AA53" s="50"/>
      <c r="AB53" s="50"/>
      <c r="AC53" s="51"/>
      <c r="AD53" s="49" t="s">
        <v>195</v>
      </c>
      <c r="AE53" s="50"/>
      <c r="AF53" s="50"/>
      <c r="AG53" s="51"/>
      <c r="AH53" s="49" t="s">
        <v>196</v>
      </c>
      <c r="AI53" s="50"/>
      <c r="AJ53" s="50"/>
      <c r="AK53" s="51"/>
    </row>
    <row r="54" spans="1:39" x14ac:dyDescent="0.55000000000000004">
      <c r="A54" s="59"/>
      <c r="B54" s="43"/>
      <c r="C54" s="43"/>
      <c r="D54" s="45"/>
      <c r="E54" s="49" t="s">
        <v>85</v>
      </c>
      <c r="F54" s="50"/>
      <c r="G54" s="51"/>
      <c r="H54" s="3" t="s">
        <v>20</v>
      </c>
      <c r="I54" s="12" t="s">
        <v>197</v>
      </c>
      <c r="J54" s="49" t="s">
        <v>85</v>
      </c>
      <c r="K54" s="50"/>
      <c r="L54" s="51"/>
      <c r="M54" s="3" t="s">
        <v>20</v>
      </c>
      <c r="N54" s="49" t="s">
        <v>85</v>
      </c>
      <c r="O54" s="50"/>
      <c r="P54" s="51"/>
      <c r="Q54" s="3" t="s">
        <v>20</v>
      </c>
      <c r="R54" s="49" t="s">
        <v>85</v>
      </c>
      <c r="S54" s="50"/>
      <c r="T54" s="51"/>
      <c r="U54" s="3" t="s">
        <v>20</v>
      </c>
      <c r="V54" s="49" t="s">
        <v>85</v>
      </c>
      <c r="W54" s="50"/>
      <c r="X54" s="51"/>
      <c r="Y54" s="3" t="s">
        <v>20</v>
      </c>
      <c r="Z54" s="49" t="s">
        <v>85</v>
      </c>
      <c r="AA54" s="50"/>
      <c r="AB54" s="51"/>
      <c r="AC54" s="3" t="s">
        <v>20</v>
      </c>
      <c r="AD54" s="49" t="s">
        <v>85</v>
      </c>
      <c r="AE54" s="50"/>
      <c r="AF54" s="51"/>
      <c r="AG54" s="3" t="s">
        <v>20</v>
      </c>
      <c r="AH54" s="49" t="s">
        <v>85</v>
      </c>
      <c r="AI54" s="50"/>
      <c r="AJ54" s="51"/>
      <c r="AK54" s="3" t="s">
        <v>20</v>
      </c>
      <c r="AM54" s="15" t="s">
        <v>198</v>
      </c>
    </row>
    <row r="55" spans="1:39" x14ac:dyDescent="0.55000000000000004">
      <c r="A55" s="55" t="s">
        <v>87</v>
      </c>
      <c r="B55" s="57" t="s">
        <v>88</v>
      </c>
      <c r="C55" s="57" t="s">
        <v>26</v>
      </c>
      <c r="D55" s="13" t="s">
        <v>89</v>
      </c>
      <c r="E55" s="52" t="s">
        <v>199</v>
      </c>
      <c r="F55" s="53"/>
      <c r="G55" s="54"/>
      <c r="H55" s="8">
        <v>0.21199999999999999</v>
      </c>
      <c r="I55" s="14">
        <v>0.91400000000000003</v>
      </c>
      <c r="J55" s="52" t="s">
        <v>200</v>
      </c>
      <c r="K55" s="53" t="s">
        <v>201</v>
      </c>
      <c r="L55" s="54" t="s">
        <v>201</v>
      </c>
      <c r="M55" s="8">
        <v>0.20159786599999999</v>
      </c>
      <c r="N55" s="52" t="s">
        <v>202</v>
      </c>
      <c r="O55" s="53" t="s">
        <v>202</v>
      </c>
      <c r="P55" s="54" t="s">
        <v>202</v>
      </c>
      <c r="Q55" s="8">
        <v>0.17635732500000001</v>
      </c>
      <c r="R55" s="52" t="s">
        <v>203</v>
      </c>
      <c r="S55" s="53" t="s">
        <v>203</v>
      </c>
      <c r="T55" s="54" t="s">
        <v>203</v>
      </c>
      <c r="U55" s="8">
        <v>0.58129203500000004</v>
      </c>
      <c r="V55" s="52" t="s">
        <v>204</v>
      </c>
      <c r="W55" s="53" t="s">
        <v>204</v>
      </c>
      <c r="X55" s="54" t="s">
        <v>204</v>
      </c>
      <c r="Y55" s="8">
        <v>0.15581689100000001</v>
      </c>
      <c r="Z55" s="52" t="s">
        <v>205</v>
      </c>
      <c r="AA55" s="53" t="s">
        <v>206</v>
      </c>
      <c r="AB55" s="54" t="s">
        <v>206</v>
      </c>
      <c r="AC55" s="8">
        <v>0.45710031200000001</v>
      </c>
      <c r="AD55" s="52" t="s">
        <v>207</v>
      </c>
      <c r="AE55" s="53" t="s">
        <v>208</v>
      </c>
      <c r="AF55" s="54" t="s">
        <v>208</v>
      </c>
      <c r="AG55" s="8">
        <v>0.63409810899999997</v>
      </c>
      <c r="AH55" s="60" t="s">
        <v>209</v>
      </c>
      <c r="AI55" s="53"/>
      <c r="AJ55" s="54"/>
      <c r="AK55" s="16" t="s">
        <v>210</v>
      </c>
    </row>
    <row r="56" spans="1:39" x14ac:dyDescent="0.55000000000000004">
      <c r="A56" s="55"/>
      <c r="B56" s="57"/>
      <c r="C56" s="45"/>
      <c r="D56" s="12" t="s">
        <v>93</v>
      </c>
      <c r="E56" s="52" t="s">
        <v>211</v>
      </c>
      <c r="F56" s="53"/>
      <c r="G56" s="54"/>
      <c r="H56" s="8">
        <v>0.51100000000000001</v>
      </c>
      <c r="I56" s="14">
        <v>0.47899999999999998</v>
      </c>
      <c r="J56" s="52" t="s">
        <v>212</v>
      </c>
      <c r="K56" s="53" t="s">
        <v>213</v>
      </c>
      <c r="L56" s="54" t="s">
        <v>213</v>
      </c>
      <c r="M56" s="8">
        <v>0.93571024000000003</v>
      </c>
      <c r="N56" s="52" t="s">
        <v>214</v>
      </c>
      <c r="O56" s="53" t="s">
        <v>214</v>
      </c>
      <c r="P56" s="54" t="s">
        <v>214</v>
      </c>
      <c r="Q56" s="8">
        <v>0.88377805300000001</v>
      </c>
      <c r="R56" s="52" t="s">
        <v>215</v>
      </c>
      <c r="S56" s="53" t="s">
        <v>216</v>
      </c>
      <c r="T56" s="54" t="s">
        <v>216</v>
      </c>
      <c r="U56" s="8">
        <v>0.36480041499999999</v>
      </c>
      <c r="V56" s="52" t="s">
        <v>217</v>
      </c>
      <c r="W56" s="53" t="s">
        <v>217</v>
      </c>
      <c r="X56" s="54" t="s">
        <v>217</v>
      </c>
      <c r="Y56" s="8">
        <v>7.2161443000000006E-2</v>
      </c>
      <c r="Z56" s="52" t="s">
        <v>218</v>
      </c>
      <c r="AA56" s="53" t="s">
        <v>218</v>
      </c>
      <c r="AB56" s="54" t="s">
        <v>218</v>
      </c>
      <c r="AC56" s="8">
        <v>0.58458915700000003</v>
      </c>
      <c r="AD56" s="52" t="s">
        <v>219</v>
      </c>
      <c r="AE56" s="53" t="s">
        <v>219</v>
      </c>
      <c r="AF56" s="54" t="s">
        <v>219</v>
      </c>
      <c r="AG56" s="8">
        <v>0.92463614999999999</v>
      </c>
      <c r="AH56" s="60" t="s">
        <v>209</v>
      </c>
      <c r="AI56" s="53"/>
      <c r="AJ56" s="54"/>
      <c r="AK56" s="16" t="s">
        <v>210</v>
      </c>
    </row>
    <row r="57" spans="1:39" x14ac:dyDescent="0.55000000000000004">
      <c r="A57" s="55"/>
      <c r="B57" s="57"/>
      <c r="C57" s="57" t="s">
        <v>34</v>
      </c>
      <c r="D57" s="13" t="s">
        <v>89</v>
      </c>
      <c r="E57" s="52" t="s">
        <v>220</v>
      </c>
      <c r="F57" s="53"/>
      <c r="G57" s="54"/>
      <c r="H57" s="8">
        <v>6.1964659999999997E-5</v>
      </c>
      <c r="I57" s="14" t="s">
        <v>221</v>
      </c>
      <c r="J57" s="52" t="s">
        <v>222</v>
      </c>
      <c r="K57" s="53" t="s">
        <v>223</v>
      </c>
      <c r="L57" s="54" t="s">
        <v>223</v>
      </c>
      <c r="M57" s="8" t="s">
        <v>29</v>
      </c>
      <c r="N57" s="52" t="s">
        <v>224</v>
      </c>
      <c r="O57" s="53" t="s">
        <v>224</v>
      </c>
      <c r="P57" s="54" t="s">
        <v>224</v>
      </c>
      <c r="Q57" s="8" t="s">
        <v>29</v>
      </c>
      <c r="R57" s="52" t="s">
        <v>225</v>
      </c>
      <c r="S57" s="53" t="s">
        <v>225</v>
      </c>
      <c r="T57" s="54" t="s">
        <v>225</v>
      </c>
      <c r="U57" s="8">
        <v>7.5899999999999998E-8</v>
      </c>
      <c r="V57" s="52" t="s">
        <v>226</v>
      </c>
      <c r="W57" s="53" t="s">
        <v>226</v>
      </c>
      <c r="X57" s="54" t="s">
        <v>226</v>
      </c>
      <c r="Y57" s="8">
        <v>0.56577423400000004</v>
      </c>
      <c r="Z57" s="52" t="s">
        <v>227</v>
      </c>
      <c r="AA57" s="53" t="s">
        <v>228</v>
      </c>
      <c r="AB57" s="54" t="s">
        <v>228</v>
      </c>
      <c r="AC57" s="8">
        <v>1.13E-5</v>
      </c>
      <c r="AD57" s="52" t="s">
        <v>229</v>
      </c>
      <c r="AE57" s="53" t="s">
        <v>229</v>
      </c>
      <c r="AF57" s="54" t="s">
        <v>229</v>
      </c>
      <c r="AG57" s="8">
        <v>3.22E-7</v>
      </c>
      <c r="AH57" s="60" t="s">
        <v>209</v>
      </c>
      <c r="AI57" s="53"/>
      <c r="AJ57" s="54"/>
      <c r="AK57" s="16" t="s">
        <v>210</v>
      </c>
    </row>
    <row r="58" spans="1:39" x14ac:dyDescent="0.55000000000000004">
      <c r="A58" s="55"/>
      <c r="B58" s="57"/>
      <c r="C58" s="45"/>
      <c r="D58" s="12" t="s">
        <v>93</v>
      </c>
      <c r="E58" s="52" t="s">
        <v>230</v>
      </c>
      <c r="F58" s="53"/>
      <c r="G58" s="54"/>
      <c r="H58" s="8" t="s">
        <v>29</v>
      </c>
      <c r="I58" s="14" t="s">
        <v>221</v>
      </c>
      <c r="J58" s="52" t="s">
        <v>231</v>
      </c>
      <c r="K58" s="53" t="s">
        <v>231</v>
      </c>
      <c r="L58" s="54" t="s">
        <v>231</v>
      </c>
      <c r="M58" s="8">
        <v>0.32100000000000001</v>
      </c>
      <c r="N58" s="52" t="s">
        <v>232</v>
      </c>
      <c r="O58" s="53" t="s">
        <v>232</v>
      </c>
      <c r="P58" s="54" t="s">
        <v>232</v>
      </c>
      <c r="Q58" s="8">
        <v>0.494670901</v>
      </c>
      <c r="R58" s="52" t="s">
        <v>233</v>
      </c>
      <c r="S58" s="53" t="s">
        <v>233</v>
      </c>
      <c r="T58" s="54" t="s">
        <v>233</v>
      </c>
      <c r="U58" s="8">
        <v>1.9300000000000001E-11</v>
      </c>
      <c r="V58" s="52" t="s">
        <v>234</v>
      </c>
      <c r="W58" s="53" t="s">
        <v>234</v>
      </c>
      <c r="X58" s="54" t="s">
        <v>234</v>
      </c>
      <c r="Y58" s="8" t="s">
        <v>29</v>
      </c>
      <c r="Z58" s="52" t="s">
        <v>235</v>
      </c>
      <c r="AA58" s="53" t="s">
        <v>235</v>
      </c>
      <c r="AB58" s="54" t="s">
        <v>235</v>
      </c>
      <c r="AC58" s="8" t="s">
        <v>29</v>
      </c>
      <c r="AD58" s="52" t="s">
        <v>236</v>
      </c>
      <c r="AE58" s="53" t="s">
        <v>237</v>
      </c>
      <c r="AF58" s="54" t="s">
        <v>237</v>
      </c>
      <c r="AG58" s="8">
        <v>2.0900000000000001E-72</v>
      </c>
      <c r="AH58" s="60" t="s">
        <v>209</v>
      </c>
      <c r="AI58" s="53"/>
      <c r="AJ58" s="54"/>
      <c r="AK58" s="16" t="s">
        <v>210</v>
      </c>
    </row>
    <row r="59" spans="1:39" x14ac:dyDescent="0.55000000000000004">
      <c r="A59" s="55"/>
      <c r="B59" s="57"/>
      <c r="C59" s="57" t="s">
        <v>41</v>
      </c>
      <c r="D59" s="13" t="s">
        <v>89</v>
      </c>
      <c r="E59" s="52" t="s">
        <v>238</v>
      </c>
      <c r="F59" s="53"/>
      <c r="G59" s="54"/>
      <c r="H59" s="8" t="s">
        <v>29</v>
      </c>
      <c r="I59" s="14" t="s">
        <v>221</v>
      </c>
      <c r="J59" s="52" t="s">
        <v>239</v>
      </c>
      <c r="K59" s="53" t="s">
        <v>240</v>
      </c>
      <c r="L59" s="54" t="s">
        <v>240</v>
      </c>
      <c r="M59" s="8">
        <v>7.2799999999999997E-11</v>
      </c>
      <c r="N59" s="52" t="s">
        <v>241</v>
      </c>
      <c r="O59" s="53" t="s">
        <v>242</v>
      </c>
      <c r="P59" s="54" t="s">
        <v>242</v>
      </c>
      <c r="Q59" s="8">
        <v>4.3700000000000001E-8</v>
      </c>
      <c r="R59" s="52" t="s">
        <v>243</v>
      </c>
      <c r="S59" s="53" t="s">
        <v>244</v>
      </c>
      <c r="T59" s="54" t="s">
        <v>244</v>
      </c>
      <c r="U59" s="8">
        <v>0.102614606</v>
      </c>
      <c r="V59" s="52" t="s">
        <v>245</v>
      </c>
      <c r="W59" s="53" t="s">
        <v>245</v>
      </c>
      <c r="X59" s="54" t="s">
        <v>245</v>
      </c>
      <c r="Y59" s="8" t="s">
        <v>29</v>
      </c>
      <c r="Z59" s="52" t="s">
        <v>246</v>
      </c>
      <c r="AA59" s="53" t="s">
        <v>247</v>
      </c>
      <c r="AB59" s="54" t="s">
        <v>247</v>
      </c>
      <c r="AC59" s="8" t="s">
        <v>29</v>
      </c>
      <c r="AD59" s="52" t="s">
        <v>248</v>
      </c>
      <c r="AE59" s="53" t="s">
        <v>249</v>
      </c>
      <c r="AF59" s="54" t="s">
        <v>249</v>
      </c>
      <c r="AG59" s="8" t="s">
        <v>29</v>
      </c>
      <c r="AH59" s="60" t="s">
        <v>209</v>
      </c>
      <c r="AI59" s="53"/>
      <c r="AJ59" s="54"/>
      <c r="AK59" s="16" t="s">
        <v>210</v>
      </c>
    </row>
    <row r="60" spans="1:39" x14ac:dyDescent="0.55000000000000004">
      <c r="A60" s="55"/>
      <c r="B60" s="57"/>
      <c r="C60" s="45"/>
      <c r="D60" s="12" t="s">
        <v>93</v>
      </c>
      <c r="E60" s="52" t="s">
        <v>250</v>
      </c>
      <c r="F60" s="53"/>
      <c r="G60" s="54"/>
      <c r="H60" s="8" t="s">
        <v>29</v>
      </c>
      <c r="I60" s="17">
        <v>1E-4</v>
      </c>
      <c r="J60" s="52" t="s">
        <v>251</v>
      </c>
      <c r="K60" s="53" t="s">
        <v>251</v>
      </c>
      <c r="L60" s="54" t="s">
        <v>251</v>
      </c>
      <c r="M60" s="8">
        <v>6.9700000000000002E-6</v>
      </c>
      <c r="N60" s="52" t="s">
        <v>252</v>
      </c>
      <c r="O60" s="53" t="s">
        <v>252</v>
      </c>
      <c r="P60" s="54" t="s">
        <v>252</v>
      </c>
      <c r="Q60" s="8">
        <v>2.31E-11</v>
      </c>
      <c r="R60" s="52" t="s">
        <v>253</v>
      </c>
      <c r="S60" s="53" t="s">
        <v>253</v>
      </c>
      <c r="T60" s="54" t="s">
        <v>253</v>
      </c>
      <c r="U60" s="8" t="s">
        <v>29</v>
      </c>
      <c r="V60" s="52" t="s">
        <v>254</v>
      </c>
      <c r="W60" s="53" t="s">
        <v>254</v>
      </c>
      <c r="X60" s="54" t="s">
        <v>254</v>
      </c>
      <c r="Y60" s="8" t="s">
        <v>29</v>
      </c>
      <c r="Z60" s="52" t="s">
        <v>255</v>
      </c>
      <c r="AA60" s="53" t="s">
        <v>256</v>
      </c>
      <c r="AB60" s="54" t="s">
        <v>256</v>
      </c>
      <c r="AC60" s="8" t="s">
        <v>29</v>
      </c>
      <c r="AD60" s="52" t="s">
        <v>257</v>
      </c>
      <c r="AE60" s="53" t="s">
        <v>258</v>
      </c>
      <c r="AF60" s="54" t="s">
        <v>258</v>
      </c>
      <c r="AG60" s="8" t="s">
        <v>29</v>
      </c>
      <c r="AH60" s="60" t="s">
        <v>209</v>
      </c>
      <c r="AI60" s="53"/>
      <c r="AJ60" s="54"/>
      <c r="AK60" s="16" t="s">
        <v>210</v>
      </c>
    </row>
    <row r="61" spans="1:39" x14ac:dyDescent="0.55000000000000004">
      <c r="A61" s="55"/>
      <c r="B61" s="57"/>
      <c r="C61" s="57" t="s">
        <v>48</v>
      </c>
      <c r="D61" s="13" t="s">
        <v>89</v>
      </c>
      <c r="E61" s="52" t="s">
        <v>259</v>
      </c>
      <c r="F61" s="53"/>
      <c r="G61" s="54"/>
      <c r="H61" s="8">
        <v>0.76900000000000002</v>
      </c>
      <c r="I61" s="14" t="s">
        <v>221</v>
      </c>
      <c r="J61" s="52" t="s">
        <v>260</v>
      </c>
      <c r="K61" s="53" t="s">
        <v>261</v>
      </c>
      <c r="L61" s="54" t="s">
        <v>261</v>
      </c>
      <c r="M61" s="8">
        <v>1.22E-20</v>
      </c>
      <c r="N61" s="52" t="s">
        <v>262</v>
      </c>
      <c r="O61" s="53" t="s">
        <v>262</v>
      </c>
      <c r="P61" s="54" t="s">
        <v>262</v>
      </c>
      <c r="Q61" s="8" t="s">
        <v>29</v>
      </c>
      <c r="R61" s="52" t="s">
        <v>263</v>
      </c>
      <c r="S61" s="53" t="s">
        <v>263</v>
      </c>
      <c r="T61" s="54" t="s">
        <v>263</v>
      </c>
      <c r="U61" s="8">
        <v>4.7798348999999997E-2</v>
      </c>
      <c r="V61" s="52" t="s">
        <v>264</v>
      </c>
      <c r="W61" s="53" t="s">
        <v>264</v>
      </c>
      <c r="X61" s="54" t="s">
        <v>264</v>
      </c>
      <c r="Y61" s="8">
        <v>0.32352192499999999</v>
      </c>
      <c r="Z61" s="52" t="s">
        <v>265</v>
      </c>
      <c r="AA61" s="53" t="s">
        <v>265</v>
      </c>
      <c r="AB61" s="54" t="s">
        <v>265</v>
      </c>
      <c r="AC61" s="8">
        <v>0.31001181900000002</v>
      </c>
      <c r="AD61" s="52" t="s">
        <v>266</v>
      </c>
      <c r="AE61" s="53" t="s">
        <v>267</v>
      </c>
      <c r="AF61" s="54" t="s">
        <v>267</v>
      </c>
      <c r="AG61" s="8">
        <v>0.16231311100000001</v>
      </c>
      <c r="AH61" s="60" t="s">
        <v>209</v>
      </c>
      <c r="AI61" s="53"/>
      <c r="AJ61" s="54"/>
      <c r="AK61" s="16" t="s">
        <v>210</v>
      </c>
    </row>
    <row r="62" spans="1:39" x14ac:dyDescent="0.55000000000000004">
      <c r="A62" s="55"/>
      <c r="B62" s="45"/>
      <c r="C62" s="45"/>
      <c r="D62" s="12" t="s">
        <v>93</v>
      </c>
      <c r="E62" s="52" t="s">
        <v>268</v>
      </c>
      <c r="F62" s="53"/>
      <c r="G62" s="54"/>
      <c r="H62" s="8" t="s">
        <v>29</v>
      </c>
      <c r="I62" s="14" t="s">
        <v>221</v>
      </c>
      <c r="J62" s="52" t="s">
        <v>269</v>
      </c>
      <c r="K62" s="53" t="s">
        <v>269</v>
      </c>
      <c r="L62" s="54" t="s">
        <v>269</v>
      </c>
      <c r="M62" s="8">
        <v>0.103035194</v>
      </c>
      <c r="N62" s="52" t="s">
        <v>270</v>
      </c>
      <c r="O62" s="53" t="s">
        <v>270</v>
      </c>
      <c r="P62" s="54" t="s">
        <v>270</v>
      </c>
      <c r="Q62" s="8">
        <v>2.8629699999999997E-4</v>
      </c>
      <c r="R62" s="52" t="s">
        <v>271</v>
      </c>
      <c r="S62" s="53" t="s">
        <v>271</v>
      </c>
      <c r="T62" s="54" t="s">
        <v>271</v>
      </c>
      <c r="U62" s="8" t="s">
        <v>29</v>
      </c>
      <c r="V62" s="52" t="s">
        <v>272</v>
      </c>
      <c r="W62" s="53" t="s">
        <v>272</v>
      </c>
      <c r="X62" s="54" t="s">
        <v>272</v>
      </c>
      <c r="Y62" s="8" t="s">
        <v>29</v>
      </c>
      <c r="Z62" s="52" t="s">
        <v>273</v>
      </c>
      <c r="AA62" s="53" t="s">
        <v>273</v>
      </c>
      <c r="AB62" s="54" t="s">
        <v>273</v>
      </c>
      <c r="AC62" s="8" t="s">
        <v>29</v>
      </c>
      <c r="AD62" s="52" t="s">
        <v>274</v>
      </c>
      <c r="AE62" s="53" t="s">
        <v>275</v>
      </c>
      <c r="AF62" s="54" t="s">
        <v>275</v>
      </c>
      <c r="AG62" s="8" t="s">
        <v>29</v>
      </c>
      <c r="AH62" s="60" t="s">
        <v>209</v>
      </c>
      <c r="AI62" s="53"/>
      <c r="AJ62" s="54"/>
      <c r="AK62" s="16" t="s">
        <v>210</v>
      </c>
    </row>
    <row r="63" spans="1:39" x14ac:dyDescent="0.55000000000000004">
      <c r="A63" s="55"/>
      <c r="B63" s="57" t="s">
        <v>115</v>
      </c>
      <c r="C63" s="57" t="s">
        <v>26</v>
      </c>
      <c r="D63" s="13" t="s">
        <v>89</v>
      </c>
      <c r="E63" s="52" t="s">
        <v>276</v>
      </c>
      <c r="F63" s="53"/>
      <c r="G63" s="54"/>
      <c r="H63" s="8">
        <v>0.433</v>
      </c>
      <c r="I63" s="14">
        <v>0.498</v>
      </c>
      <c r="J63" s="52" t="s">
        <v>277</v>
      </c>
      <c r="K63" s="53" t="s">
        <v>278</v>
      </c>
      <c r="L63" s="54" t="s">
        <v>278</v>
      </c>
      <c r="M63" s="8">
        <v>0.44446680199999999</v>
      </c>
      <c r="N63" s="52" t="s">
        <v>279</v>
      </c>
      <c r="O63" s="53" t="s">
        <v>279</v>
      </c>
      <c r="P63" s="54" t="s">
        <v>279</v>
      </c>
      <c r="Q63" s="8">
        <v>0.28404132700000001</v>
      </c>
      <c r="R63" s="52" t="s">
        <v>280</v>
      </c>
      <c r="S63" s="53" t="s">
        <v>280</v>
      </c>
      <c r="T63" s="54" t="s">
        <v>280</v>
      </c>
      <c r="U63" s="8">
        <v>8.7423945000000003E-2</v>
      </c>
      <c r="V63" s="52" t="s">
        <v>281</v>
      </c>
      <c r="W63" s="53" t="s">
        <v>281</v>
      </c>
      <c r="X63" s="54" t="s">
        <v>281</v>
      </c>
      <c r="Y63" s="8">
        <v>0.46124242900000001</v>
      </c>
      <c r="Z63" s="52" t="s">
        <v>282</v>
      </c>
      <c r="AA63" s="53" t="s">
        <v>282</v>
      </c>
      <c r="AB63" s="54" t="s">
        <v>282</v>
      </c>
      <c r="AC63" s="8">
        <v>0.64368544100000002</v>
      </c>
      <c r="AD63" s="52" t="s">
        <v>283</v>
      </c>
      <c r="AE63" s="53" t="s">
        <v>283</v>
      </c>
      <c r="AF63" s="54" t="s">
        <v>283</v>
      </c>
      <c r="AG63" s="8">
        <v>0.74388101600000001</v>
      </c>
      <c r="AH63" s="60" t="s">
        <v>209</v>
      </c>
      <c r="AI63" s="53"/>
      <c r="AJ63" s="54"/>
      <c r="AK63" s="16" t="s">
        <v>210</v>
      </c>
    </row>
    <row r="64" spans="1:39" x14ac:dyDescent="0.55000000000000004">
      <c r="A64" s="55"/>
      <c r="B64" s="57"/>
      <c r="C64" s="45"/>
      <c r="D64" s="12" t="s">
        <v>93</v>
      </c>
      <c r="E64" s="52" t="s">
        <v>284</v>
      </c>
      <c r="F64" s="53"/>
      <c r="G64" s="54"/>
      <c r="H64" s="8">
        <v>0.86899999999999999</v>
      </c>
      <c r="I64" s="14">
        <v>0.76200000000000001</v>
      </c>
      <c r="J64" s="52" t="s">
        <v>285</v>
      </c>
      <c r="K64" s="53" t="s">
        <v>285</v>
      </c>
      <c r="L64" s="54" t="s">
        <v>285</v>
      </c>
      <c r="M64" s="8">
        <v>0.58570862599999995</v>
      </c>
      <c r="N64" s="52" t="s">
        <v>286</v>
      </c>
      <c r="O64" s="53" t="s">
        <v>286</v>
      </c>
      <c r="P64" s="54" t="s">
        <v>286</v>
      </c>
      <c r="Q64" s="8">
        <v>0.474701239</v>
      </c>
      <c r="R64" s="52" t="s">
        <v>287</v>
      </c>
      <c r="S64" s="53" t="s">
        <v>287</v>
      </c>
      <c r="T64" s="54" t="s">
        <v>287</v>
      </c>
      <c r="U64" s="8">
        <v>0.33975856199999999</v>
      </c>
      <c r="V64" s="52" t="s">
        <v>288</v>
      </c>
      <c r="W64" s="53" t="s">
        <v>288</v>
      </c>
      <c r="X64" s="54" t="s">
        <v>288</v>
      </c>
      <c r="Y64" s="8">
        <v>0.54076360000000001</v>
      </c>
      <c r="Z64" s="52" t="s">
        <v>289</v>
      </c>
      <c r="AA64" s="53" t="s">
        <v>289</v>
      </c>
      <c r="AB64" s="54" t="s">
        <v>289</v>
      </c>
      <c r="AC64" s="8">
        <v>0.56933766799999996</v>
      </c>
      <c r="AD64" s="52" t="s">
        <v>290</v>
      </c>
      <c r="AE64" s="53" t="s">
        <v>290</v>
      </c>
      <c r="AF64" s="54" t="s">
        <v>290</v>
      </c>
      <c r="AG64" s="8">
        <v>0.65529630000000005</v>
      </c>
      <c r="AH64" s="60" t="s">
        <v>209</v>
      </c>
      <c r="AI64" s="53"/>
      <c r="AJ64" s="54"/>
      <c r="AK64" s="16" t="s">
        <v>210</v>
      </c>
    </row>
    <row r="65" spans="1:37" x14ac:dyDescent="0.55000000000000004">
      <c r="A65" s="55"/>
      <c r="B65" s="57"/>
      <c r="C65" s="57" t="s">
        <v>34</v>
      </c>
      <c r="D65" s="13" t="s">
        <v>89</v>
      </c>
      <c r="E65" s="52" t="s">
        <v>291</v>
      </c>
      <c r="F65" s="53"/>
      <c r="G65" s="54"/>
      <c r="H65" s="8">
        <v>2.2432150000000001E-9</v>
      </c>
      <c r="I65" s="14" t="s">
        <v>221</v>
      </c>
      <c r="J65" s="52" t="s">
        <v>292</v>
      </c>
      <c r="K65" s="53" t="s">
        <v>293</v>
      </c>
      <c r="L65" s="54" t="s">
        <v>293</v>
      </c>
      <c r="M65" s="8" t="s">
        <v>29</v>
      </c>
      <c r="N65" s="52" t="s">
        <v>294</v>
      </c>
      <c r="O65" s="53" t="s">
        <v>295</v>
      </c>
      <c r="P65" s="54" t="s">
        <v>295</v>
      </c>
      <c r="Q65" s="8">
        <v>2.0400000000000001E-23</v>
      </c>
      <c r="R65" s="52" t="s">
        <v>296</v>
      </c>
      <c r="S65" s="53" t="s">
        <v>296</v>
      </c>
      <c r="T65" s="54" t="s">
        <v>296</v>
      </c>
      <c r="U65" s="8">
        <v>2.64E-9</v>
      </c>
      <c r="V65" s="52" t="s">
        <v>297</v>
      </c>
      <c r="W65" s="53" t="s">
        <v>297</v>
      </c>
      <c r="X65" s="54" t="s">
        <v>297</v>
      </c>
      <c r="Y65" s="8">
        <v>0.13966010300000001</v>
      </c>
      <c r="Z65" s="52" t="s">
        <v>298</v>
      </c>
      <c r="AA65" s="53" t="s">
        <v>298</v>
      </c>
      <c r="AB65" s="54" t="s">
        <v>298</v>
      </c>
      <c r="AC65" s="8">
        <v>0.59059965699999994</v>
      </c>
      <c r="AD65" s="52" t="s">
        <v>299</v>
      </c>
      <c r="AE65" s="53" t="s">
        <v>300</v>
      </c>
      <c r="AF65" s="54" t="s">
        <v>300</v>
      </c>
      <c r="AG65" s="8">
        <v>0.23139954200000001</v>
      </c>
      <c r="AH65" s="60" t="s">
        <v>209</v>
      </c>
      <c r="AI65" s="53"/>
      <c r="AJ65" s="54"/>
      <c r="AK65" s="16" t="s">
        <v>210</v>
      </c>
    </row>
    <row r="66" spans="1:37" x14ac:dyDescent="0.55000000000000004">
      <c r="A66" s="55"/>
      <c r="B66" s="57"/>
      <c r="C66" s="45"/>
      <c r="D66" s="12" t="s">
        <v>93</v>
      </c>
      <c r="E66" s="52" t="s">
        <v>301</v>
      </c>
      <c r="F66" s="53"/>
      <c r="G66" s="54"/>
      <c r="H66" s="8">
        <v>1.153889E-5</v>
      </c>
      <c r="I66" s="14" t="s">
        <v>221</v>
      </c>
      <c r="J66" s="52" t="s">
        <v>302</v>
      </c>
      <c r="K66" s="53" t="s">
        <v>303</v>
      </c>
      <c r="L66" s="54" t="s">
        <v>303</v>
      </c>
      <c r="M66" s="8">
        <v>0.32507144500000001</v>
      </c>
      <c r="N66" s="52" t="s">
        <v>304</v>
      </c>
      <c r="O66" s="53" t="s">
        <v>304</v>
      </c>
      <c r="P66" s="54" t="s">
        <v>304</v>
      </c>
      <c r="Q66" s="8">
        <v>0.45253606200000002</v>
      </c>
      <c r="R66" s="52" t="s">
        <v>305</v>
      </c>
      <c r="S66" s="53" t="s">
        <v>305</v>
      </c>
      <c r="T66" s="54" t="s">
        <v>305</v>
      </c>
      <c r="U66" s="8">
        <v>0.55491361400000005</v>
      </c>
      <c r="V66" s="52" t="s">
        <v>306</v>
      </c>
      <c r="W66" s="53" t="s">
        <v>306</v>
      </c>
      <c r="X66" s="54" t="s">
        <v>306</v>
      </c>
      <c r="Y66" s="8">
        <v>1.37E-8</v>
      </c>
      <c r="Z66" s="52" t="s">
        <v>307</v>
      </c>
      <c r="AA66" s="53" t="s">
        <v>308</v>
      </c>
      <c r="AB66" s="54" t="s">
        <v>308</v>
      </c>
      <c r="AC66" s="8" t="s">
        <v>29</v>
      </c>
      <c r="AD66" s="52" t="s">
        <v>309</v>
      </c>
      <c r="AE66" s="53" t="s">
        <v>310</v>
      </c>
      <c r="AF66" s="54" t="s">
        <v>310</v>
      </c>
      <c r="AG66" s="8" t="s">
        <v>29</v>
      </c>
      <c r="AH66" s="60" t="s">
        <v>209</v>
      </c>
      <c r="AI66" s="53"/>
      <c r="AJ66" s="54"/>
      <c r="AK66" s="16" t="s">
        <v>210</v>
      </c>
    </row>
    <row r="67" spans="1:37" x14ac:dyDescent="0.55000000000000004">
      <c r="A67" s="55"/>
      <c r="B67" s="57"/>
      <c r="C67" s="57" t="s">
        <v>41</v>
      </c>
      <c r="D67" s="13" t="s">
        <v>89</v>
      </c>
      <c r="E67" s="52" t="s">
        <v>311</v>
      </c>
      <c r="F67" s="53"/>
      <c r="G67" s="54"/>
      <c r="H67" s="8">
        <v>8.1000000000000003E-2</v>
      </c>
      <c r="I67" s="14">
        <v>0.61299999999999999</v>
      </c>
      <c r="J67" s="52" t="s">
        <v>312</v>
      </c>
      <c r="K67" s="53" t="s">
        <v>313</v>
      </c>
      <c r="L67" s="54" t="s">
        <v>313</v>
      </c>
      <c r="M67" s="8">
        <v>0.72923556499999997</v>
      </c>
      <c r="N67" s="52" t="s">
        <v>314</v>
      </c>
      <c r="O67" s="53" t="s">
        <v>315</v>
      </c>
      <c r="P67" s="54" t="s">
        <v>315</v>
      </c>
      <c r="Q67" s="8">
        <v>0.72380524099999999</v>
      </c>
      <c r="R67" s="52" t="s">
        <v>316</v>
      </c>
      <c r="S67" s="53" t="s">
        <v>316</v>
      </c>
      <c r="T67" s="54" t="s">
        <v>316</v>
      </c>
      <c r="U67" s="8">
        <v>0.82561659099999996</v>
      </c>
      <c r="V67" s="52" t="s">
        <v>317</v>
      </c>
      <c r="W67" s="53" t="s">
        <v>317</v>
      </c>
      <c r="X67" s="54" t="s">
        <v>317</v>
      </c>
      <c r="Y67" s="8">
        <v>4.2338200000000001E-3</v>
      </c>
      <c r="Z67" s="52" t="s">
        <v>318</v>
      </c>
      <c r="AA67" s="53" t="s">
        <v>319</v>
      </c>
      <c r="AB67" s="54" t="s">
        <v>319</v>
      </c>
      <c r="AC67" s="8">
        <v>2.1999999999999999E-5</v>
      </c>
      <c r="AD67" s="52" t="s">
        <v>320</v>
      </c>
      <c r="AE67" s="53" t="s">
        <v>321</v>
      </c>
      <c r="AF67" s="54" t="s">
        <v>321</v>
      </c>
      <c r="AG67" s="8">
        <v>2.6792299999999999E-4</v>
      </c>
      <c r="AH67" s="60" t="s">
        <v>209</v>
      </c>
      <c r="AI67" s="53"/>
      <c r="AJ67" s="54"/>
      <c r="AK67" s="16" t="s">
        <v>210</v>
      </c>
    </row>
    <row r="68" spans="1:37" x14ac:dyDescent="0.55000000000000004">
      <c r="A68" s="55"/>
      <c r="B68" s="57"/>
      <c r="C68" s="45"/>
      <c r="D68" s="12" t="s">
        <v>93</v>
      </c>
      <c r="E68" s="52" t="s">
        <v>322</v>
      </c>
      <c r="F68" s="53"/>
      <c r="G68" s="54"/>
      <c r="H68" s="8">
        <v>1.1757939999999999E-8</v>
      </c>
      <c r="I68" s="14">
        <v>0.375</v>
      </c>
      <c r="J68" s="52" t="s">
        <v>323</v>
      </c>
      <c r="K68" s="53" t="s">
        <v>323</v>
      </c>
      <c r="L68" s="54" t="s">
        <v>323</v>
      </c>
      <c r="M68" s="8">
        <v>0.31590495200000002</v>
      </c>
      <c r="N68" s="52" t="s">
        <v>324</v>
      </c>
      <c r="O68" s="53" t="s">
        <v>325</v>
      </c>
      <c r="P68" s="54" t="s">
        <v>325</v>
      </c>
      <c r="Q68" s="8">
        <v>0.10074759</v>
      </c>
      <c r="R68" s="52" t="s">
        <v>326</v>
      </c>
      <c r="S68" s="53" t="s">
        <v>326</v>
      </c>
      <c r="T68" s="54" t="s">
        <v>326</v>
      </c>
      <c r="U68" s="8">
        <v>6.7054799999999998E-4</v>
      </c>
      <c r="V68" s="52" t="s">
        <v>327</v>
      </c>
      <c r="W68" s="53" t="s">
        <v>327</v>
      </c>
      <c r="X68" s="54" t="s">
        <v>327</v>
      </c>
      <c r="Y68" s="8">
        <v>8.3300000000000005E-5</v>
      </c>
      <c r="Z68" s="52" t="s">
        <v>328</v>
      </c>
      <c r="AA68" s="53" t="s">
        <v>328</v>
      </c>
      <c r="AB68" s="54" t="s">
        <v>328</v>
      </c>
      <c r="AC68" s="8">
        <v>3.6800000000000001E-9</v>
      </c>
      <c r="AD68" s="52" t="s">
        <v>329</v>
      </c>
      <c r="AE68" s="53" t="s">
        <v>329</v>
      </c>
      <c r="AF68" s="54" t="s">
        <v>329</v>
      </c>
      <c r="AG68" s="8">
        <v>1.5E-6</v>
      </c>
      <c r="AH68" s="60" t="s">
        <v>209</v>
      </c>
      <c r="AI68" s="53"/>
      <c r="AJ68" s="54"/>
      <c r="AK68" s="16" t="s">
        <v>210</v>
      </c>
    </row>
    <row r="69" spans="1:37" x14ac:dyDescent="0.55000000000000004">
      <c r="A69" s="55"/>
      <c r="B69" s="57"/>
      <c r="C69" s="57" t="s">
        <v>48</v>
      </c>
      <c r="D69" s="13" t="s">
        <v>89</v>
      </c>
      <c r="E69" s="52" t="s">
        <v>330</v>
      </c>
      <c r="F69" s="53"/>
      <c r="G69" s="54"/>
      <c r="H69" s="8">
        <v>0.434</v>
      </c>
      <c r="I69" s="14" t="s">
        <v>221</v>
      </c>
      <c r="J69" s="52" t="s">
        <v>331</v>
      </c>
      <c r="K69" s="53" t="s">
        <v>332</v>
      </c>
      <c r="L69" s="54" t="s">
        <v>332</v>
      </c>
      <c r="M69" s="8">
        <v>4.58E-7</v>
      </c>
      <c r="N69" s="52" t="s">
        <v>333</v>
      </c>
      <c r="O69" s="53" t="s">
        <v>333</v>
      </c>
      <c r="P69" s="54" t="s">
        <v>333</v>
      </c>
      <c r="Q69" s="8">
        <v>6.4500000000000002E-8</v>
      </c>
      <c r="R69" s="52" t="s">
        <v>334</v>
      </c>
      <c r="S69" s="53" t="s">
        <v>334</v>
      </c>
      <c r="T69" s="54" t="s">
        <v>334</v>
      </c>
      <c r="U69" s="8">
        <v>1.4679398E-2</v>
      </c>
      <c r="V69" s="52" t="s">
        <v>335</v>
      </c>
      <c r="W69" s="53" t="s">
        <v>335</v>
      </c>
      <c r="X69" s="54" t="s">
        <v>335</v>
      </c>
      <c r="Y69" s="8">
        <v>1.286819E-2</v>
      </c>
      <c r="Z69" s="52" t="s">
        <v>336</v>
      </c>
      <c r="AA69" s="53" t="s">
        <v>336</v>
      </c>
      <c r="AB69" s="54" t="s">
        <v>336</v>
      </c>
      <c r="AC69" s="8">
        <v>1.7916215999999999E-2</v>
      </c>
      <c r="AD69" s="52" t="s">
        <v>337</v>
      </c>
      <c r="AE69" s="53" t="s">
        <v>337</v>
      </c>
      <c r="AF69" s="54" t="s">
        <v>337</v>
      </c>
      <c r="AG69" s="8">
        <v>6.5762122000000006E-2</v>
      </c>
      <c r="AH69" s="60" t="s">
        <v>209</v>
      </c>
      <c r="AI69" s="53"/>
      <c r="AJ69" s="54"/>
      <c r="AK69" s="16" t="s">
        <v>210</v>
      </c>
    </row>
    <row r="70" spans="1:37" x14ac:dyDescent="0.55000000000000004">
      <c r="A70" s="56"/>
      <c r="B70" s="45"/>
      <c r="C70" s="45"/>
      <c r="D70" s="12" t="s">
        <v>93</v>
      </c>
      <c r="E70" s="52" t="s">
        <v>338</v>
      </c>
      <c r="F70" s="53"/>
      <c r="G70" s="54"/>
      <c r="H70" s="8">
        <v>5.4241190000000003E-16</v>
      </c>
      <c r="I70" s="14">
        <v>2.5999999999999999E-2</v>
      </c>
      <c r="J70" s="52" t="s">
        <v>339</v>
      </c>
      <c r="K70" s="53" t="s">
        <v>339</v>
      </c>
      <c r="L70" s="54" t="s">
        <v>339</v>
      </c>
      <c r="M70" s="8">
        <v>0.44226704500000003</v>
      </c>
      <c r="N70" s="52" t="s">
        <v>340</v>
      </c>
      <c r="O70" s="53" t="s">
        <v>340</v>
      </c>
      <c r="P70" s="54" t="s">
        <v>340</v>
      </c>
      <c r="Q70" s="8">
        <v>0.153883785</v>
      </c>
      <c r="R70" s="52" t="s">
        <v>341</v>
      </c>
      <c r="S70" s="53" t="s">
        <v>341</v>
      </c>
      <c r="T70" s="54" t="s">
        <v>341</v>
      </c>
      <c r="U70" s="8">
        <v>1.143844E-3</v>
      </c>
      <c r="V70" s="52" t="s">
        <v>342</v>
      </c>
      <c r="W70" s="53" t="s">
        <v>342</v>
      </c>
      <c r="X70" s="54" t="s">
        <v>342</v>
      </c>
      <c r="Y70" s="8">
        <v>3.7700000000000001E-15</v>
      </c>
      <c r="Z70" s="52" t="s">
        <v>343</v>
      </c>
      <c r="AA70" s="53" t="s">
        <v>343</v>
      </c>
      <c r="AB70" s="54" t="s">
        <v>343</v>
      </c>
      <c r="AC70" s="8" t="s">
        <v>29</v>
      </c>
      <c r="AD70" s="52" t="s">
        <v>344</v>
      </c>
      <c r="AE70" s="53" t="s">
        <v>345</v>
      </c>
      <c r="AF70" s="54" t="s">
        <v>345</v>
      </c>
      <c r="AG70" s="8">
        <v>2.4799999999999999E-14</v>
      </c>
      <c r="AH70" s="60" t="s">
        <v>209</v>
      </c>
      <c r="AI70" s="53"/>
      <c r="AJ70" s="54"/>
      <c r="AK70" s="16" t="s">
        <v>210</v>
      </c>
    </row>
    <row r="71" spans="1:37" x14ac:dyDescent="0.55000000000000004">
      <c r="A71" s="55" t="s">
        <v>140</v>
      </c>
      <c r="B71" s="57" t="s">
        <v>88</v>
      </c>
      <c r="C71" s="57" t="s">
        <v>26</v>
      </c>
      <c r="D71" s="13" t="s">
        <v>89</v>
      </c>
      <c r="E71" s="52" t="s">
        <v>346</v>
      </c>
      <c r="F71" s="53"/>
      <c r="G71" s="54"/>
      <c r="H71" s="8">
        <v>1.3100000000000001E-4</v>
      </c>
      <c r="I71" s="14" t="s">
        <v>221</v>
      </c>
      <c r="J71" s="60" t="s">
        <v>209</v>
      </c>
      <c r="K71" s="53"/>
      <c r="L71" s="54"/>
      <c r="M71" s="16" t="s">
        <v>210</v>
      </c>
      <c r="N71" s="52" t="s">
        <v>347</v>
      </c>
      <c r="O71" s="53" t="s">
        <v>348</v>
      </c>
      <c r="P71" s="54" t="s">
        <v>348</v>
      </c>
      <c r="Q71" s="8" t="s">
        <v>29</v>
      </c>
      <c r="R71" s="52" t="s">
        <v>349</v>
      </c>
      <c r="S71" s="53" t="s">
        <v>350</v>
      </c>
      <c r="T71" s="54" t="s">
        <v>350</v>
      </c>
      <c r="U71" s="8" t="s">
        <v>29</v>
      </c>
      <c r="V71" s="52" t="s">
        <v>351</v>
      </c>
      <c r="W71" s="53" t="s">
        <v>351</v>
      </c>
      <c r="X71" s="54" t="s">
        <v>351</v>
      </c>
      <c r="Y71" s="8">
        <v>0.16464258600000001</v>
      </c>
      <c r="Z71" s="52" t="s">
        <v>352</v>
      </c>
      <c r="AA71" s="53" t="s">
        <v>352</v>
      </c>
      <c r="AB71" s="54" t="s">
        <v>352</v>
      </c>
      <c r="AC71" s="8">
        <v>0.375683877</v>
      </c>
      <c r="AD71" s="52" t="s">
        <v>353</v>
      </c>
      <c r="AE71" s="53" t="s">
        <v>353</v>
      </c>
      <c r="AF71" s="54" t="s">
        <v>353</v>
      </c>
      <c r="AG71" s="8">
        <v>1.0206636999999999E-2</v>
      </c>
      <c r="AH71" s="52" t="s">
        <v>354</v>
      </c>
      <c r="AI71" s="53"/>
      <c r="AJ71" s="54"/>
      <c r="AK71" s="8">
        <v>1E-3</v>
      </c>
    </row>
    <row r="72" spans="1:37" x14ac:dyDescent="0.55000000000000004">
      <c r="A72" s="55"/>
      <c r="B72" s="57"/>
      <c r="C72" s="45"/>
      <c r="D72" s="12" t="s">
        <v>93</v>
      </c>
      <c r="E72" s="52" t="s">
        <v>355</v>
      </c>
      <c r="F72" s="53"/>
      <c r="G72" s="54"/>
      <c r="H72" s="8">
        <v>0.65700000000000003</v>
      </c>
      <c r="I72" s="14">
        <v>5.3999999999999999E-2</v>
      </c>
      <c r="J72" s="60" t="s">
        <v>209</v>
      </c>
      <c r="K72" s="53"/>
      <c r="L72" s="54"/>
      <c r="M72" s="16" t="s">
        <v>210</v>
      </c>
      <c r="N72" s="52" t="s">
        <v>356</v>
      </c>
      <c r="O72" s="53" t="s">
        <v>357</v>
      </c>
      <c r="P72" s="54" t="s">
        <v>357</v>
      </c>
      <c r="Q72" s="8">
        <v>2.31599E-4</v>
      </c>
      <c r="R72" s="52" t="s">
        <v>358</v>
      </c>
      <c r="S72" s="53" t="s">
        <v>358</v>
      </c>
      <c r="T72" s="54" t="s">
        <v>358</v>
      </c>
      <c r="U72" s="8">
        <v>3.3990298000000002E-2</v>
      </c>
      <c r="V72" s="52" t="s">
        <v>359</v>
      </c>
      <c r="W72" s="53" t="s">
        <v>360</v>
      </c>
      <c r="X72" s="54" t="s">
        <v>360</v>
      </c>
      <c r="Y72" s="8">
        <v>0.493519767</v>
      </c>
      <c r="Z72" s="52" t="s">
        <v>361</v>
      </c>
      <c r="AA72" s="53" t="s">
        <v>362</v>
      </c>
      <c r="AB72" s="54" t="s">
        <v>362</v>
      </c>
      <c r="AC72" s="8">
        <v>9.9802549000000004E-2</v>
      </c>
      <c r="AD72" s="52" t="s">
        <v>363</v>
      </c>
      <c r="AE72" s="53" t="s">
        <v>363</v>
      </c>
      <c r="AF72" s="54" t="s">
        <v>363</v>
      </c>
      <c r="AG72" s="8">
        <v>0.13261589600000001</v>
      </c>
      <c r="AH72" s="61" t="s">
        <v>364</v>
      </c>
      <c r="AI72" s="62"/>
      <c r="AJ72" s="63"/>
      <c r="AK72" s="18">
        <v>0.19600000000000001</v>
      </c>
    </row>
    <row r="73" spans="1:37" x14ac:dyDescent="0.55000000000000004">
      <c r="A73" s="55"/>
      <c r="B73" s="57"/>
      <c r="C73" s="57" t="s">
        <v>34</v>
      </c>
      <c r="D73" s="13" t="s">
        <v>89</v>
      </c>
      <c r="E73" s="52" t="s">
        <v>365</v>
      </c>
      <c r="F73" s="53"/>
      <c r="G73" s="54"/>
      <c r="H73" s="8">
        <v>3.2441659999999999E-9</v>
      </c>
      <c r="I73" s="14" t="s">
        <v>221</v>
      </c>
      <c r="J73" s="60" t="s">
        <v>209</v>
      </c>
      <c r="K73" s="53"/>
      <c r="L73" s="54"/>
      <c r="M73" s="16" t="s">
        <v>210</v>
      </c>
      <c r="N73" s="52" t="s">
        <v>366</v>
      </c>
      <c r="O73" s="53" t="s">
        <v>367</v>
      </c>
      <c r="P73" s="54" t="s">
        <v>367</v>
      </c>
      <c r="Q73" s="8" t="s">
        <v>29</v>
      </c>
      <c r="R73" s="52" t="s">
        <v>368</v>
      </c>
      <c r="S73" s="53" t="s">
        <v>369</v>
      </c>
      <c r="T73" s="54" t="s">
        <v>369</v>
      </c>
      <c r="U73" s="8" t="s">
        <v>29</v>
      </c>
      <c r="V73" s="52" t="s">
        <v>370</v>
      </c>
      <c r="W73" s="53" t="s">
        <v>370</v>
      </c>
      <c r="X73" s="54" t="s">
        <v>370</v>
      </c>
      <c r="Y73" s="8">
        <v>0.22994954100000001</v>
      </c>
      <c r="Z73" s="52" t="s">
        <v>371</v>
      </c>
      <c r="AA73" s="53" t="s">
        <v>371</v>
      </c>
      <c r="AB73" s="54" t="s">
        <v>371</v>
      </c>
      <c r="AC73" s="8">
        <v>4.2200000000000003E-5</v>
      </c>
      <c r="AD73" s="52" t="s">
        <v>372</v>
      </c>
      <c r="AE73" s="53" t="s">
        <v>372</v>
      </c>
      <c r="AF73" s="54" t="s">
        <v>372</v>
      </c>
      <c r="AG73" s="8">
        <v>4.5799999999999998E-14</v>
      </c>
      <c r="AH73" s="52" t="s">
        <v>373</v>
      </c>
      <c r="AI73" s="53"/>
      <c r="AJ73" s="54"/>
      <c r="AK73" s="8" t="s">
        <v>29</v>
      </c>
    </row>
    <row r="74" spans="1:37" x14ac:dyDescent="0.55000000000000004">
      <c r="A74" s="55"/>
      <c r="B74" s="57"/>
      <c r="C74" s="45"/>
      <c r="D74" s="12" t="s">
        <v>93</v>
      </c>
      <c r="E74" s="52" t="s">
        <v>374</v>
      </c>
      <c r="F74" s="53"/>
      <c r="G74" s="54"/>
      <c r="H74" s="8">
        <v>2.495644E-5</v>
      </c>
      <c r="I74" s="14" t="s">
        <v>221</v>
      </c>
      <c r="J74" s="60" t="s">
        <v>209</v>
      </c>
      <c r="K74" s="53"/>
      <c r="L74" s="54"/>
      <c r="M74" s="16" t="s">
        <v>210</v>
      </c>
      <c r="N74" s="52" t="s">
        <v>375</v>
      </c>
      <c r="O74" s="53" t="s">
        <v>376</v>
      </c>
      <c r="P74" s="54" t="s">
        <v>376</v>
      </c>
      <c r="Q74" s="8" t="s">
        <v>29</v>
      </c>
      <c r="R74" s="52" t="s">
        <v>377</v>
      </c>
      <c r="S74" s="53" t="s">
        <v>377</v>
      </c>
      <c r="T74" s="54" t="s">
        <v>377</v>
      </c>
      <c r="U74" s="8" t="s">
        <v>29</v>
      </c>
      <c r="V74" s="52" t="s">
        <v>378</v>
      </c>
      <c r="W74" s="53" t="s">
        <v>379</v>
      </c>
      <c r="X74" s="54" t="s">
        <v>379</v>
      </c>
      <c r="Y74" s="8">
        <v>1.1240781E-2</v>
      </c>
      <c r="Z74" s="52" t="s">
        <v>380</v>
      </c>
      <c r="AA74" s="53" t="s">
        <v>380</v>
      </c>
      <c r="AB74" s="54" t="s">
        <v>380</v>
      </c>
      <c r="AC74" s="8">
        <v>6.3900000000000004E-37</v>
      </c>
      <c r="AD74" s="52" t="s">
        <v>381</v>
      </c>
      <c r="AE74" s="53" t="s">
        <v>381</v>
      </c>
      <c r="AF74" s="54" t="s">
        <v>381</v>
      </c>
      <c r="AG74" s="8" t="s">
        <v>29</v>
      </c>
      <c r="AH74" s="52" t="s">
        <v>382</v>
      </c>
      <c r="AI74" s="53"/>
      <c r="AJ74" s="54"/>
      <c r="AK74" s="8" t="s">
        <v>29</v>
      </c>
    </row>
    <row r="75" spans="1:37" x14ac:dyDescent="0.55000000000000004">
      <c r="A75" s="55"/>
      <c r="B75" s="57"/>
      <c r="C75" s="57" t="s">
        <v>41</v>
      </c>
      <c r="D75" s="13" t="s">
        <v>89</v>
      </c>
      <c r="E75" s="52" t="s">
        <v>383</v>
      </c>
      <c r="F75" s="53"/>
      <c r="G75" s="54"/>
      <c r="H75" s="8" t="s">
        <v>29</v>
      </c>
      <c r="I75" s="14" t="s">
        <v>221</v>
      </c>
      <c r="J75" s="60" t="s">
        <v>209</v>
      </c>
      <c r="K75" s="53"/>
      <c r="L75" s="54"/>
      <c r="M75" s="16" t="s">
        <v>210</v>
      </c>
      <c r="N75" s="52" t="s">
        <v>384</v>
      </c>
      <c r="O75" s="53" t="s">
        <v>385</v>
      </c>
      <c r="P75" s="54" t="s">
        <v>385</v>
      </c>
      <c r="Q75" s="8">
        <v>1.6765319999999999E-3</v>
      </c>
      <c r="R75" s="52" t="s">
        <v>386</v>
      </c>
      <c r="S75" s="53" t="s">
        <v>387</v>
      </c>
      <c r="T75" s="54" t="s">
        <v>387</v>
      </c>
      <c r="U75" s="8">
        <v>0.339495194</v>
      </c>
      <c r="V75" s="52" t="s">
        <v>388</v>
      </c>
      <c r="W75" s="53" t="s">
        <v>388</v>
      </c>
      <c r="X75" s="54" t="s">
        <v>388</v>
      </c>
      <c r="Y75" s="8">
        <v>7.5499999999999998E-11</v>
      </c>
      <c r="Z75" s="52" t="s">
        <v>389</v>
      </c>
      <c r="AA75" s="53" t="s">
        <v>389</v>
      </c>
      <c r="AB75" s="54" t="s">
        <v>389</v>
      </c>
      <c r="AC75" s="8" t="s">
        <v>29</v>
      </c>
      <c r="AD75" s="52" t="s">
        <v>390</v>
      </c>
      <c r="AE75" s="53" t="s">
        <v>390</v>
      </c>
      <c r="AF75" s="54" t="s">
        <v>390</v>
      </c>
      <c r="AG75" s="8" t="s">
        <v>29</v>
      </c>
      <c r="AH75" s="52" t="s">
        <v>391</v>
      </c>
      <c r="AI75" s="53"/>
      <c r="AJ75" s="54"/>
      <c r="AK75" s="8" t="s">
        <v>29</v>
      </c>
    </row>
    <row r="76" spans="1:37" x14ac:dyDescent="0.55000000000000004">
      <c r="A76" s="55"/>
      <c r="B76" s="57"/>
      <c r="C76" s="45"/>
      <c r="D76" s="12" t="s">
        <v>93</v>
      </c>
      <c r="E76" s="52" t="s">
        <v>392</v>
      </c>
      <c r="F76" s="53"/>
      <c r="G76" s="54"/>
      <c r="H76" s="8" t="s">
        <v>29</v>
      </c>
      <c r="I76" s="14" t="s">
        <v>221</v>
      </c>
      <c r="J76" s="60" t="s">
        <v>209</v>
      </c>
      <c r="K76" s="53"/>
      <c r="L76" s="54"/>
      <c r="M76" s="16" t="s">
        <v>210</v>
      </c>
      <c r="N76" s="52" t="s">
        <v>393</v>
      </c>
      <c r="O76" s="53" t="s">
        <v>393</v>
      </c>
      <c r="P76" s="54" t="s">
        <v>393</v>
      </c>
      <c r="Q76" s="8">
        <v>8.1158648999999999E-2</v>
      </c>
      <c r="R76" s="52" t="s">
        <v>394</v>
      </c>
      <c r="S76" s="53" t="s">
        <v>394</v>
      </c>
      <c r="T76" s="54" t="s">
        <v>394</v>
      </c>
      <c r="U76" s="8">
        <v>2.8900000000000001E-16</v>
      </c>
      <c r="V76" s="52" t="s">
        <v>395</v>
      </c>
      <c r="W76" s="53" t="s">
        <v>395</v>
      </c>
      <c r="X76" s="54" t="s">
        <v>395</v>
      </c>
      <c r="Y76" s="8" t="s">
        <v>29</v>
      </c>
      <c r="Z76" s="52" t="s">
        <v>396</v>
      </c>
      <c r="AA76" s="53" t="s">
        <v>396</v>
      </c>
      <c r="AB76" s="54" t="s">
        <v>396</v>
      </c>
      <c r="AC76" s="8" t="s">
        <v>29</v>
      </c>
      <c r="AD76" s="52" t="s">
        <v>397</v>
      </c>
      <c r="AE76" s="53" t="s">
        <v>398</v>
      </c>
      <c r="AF76" s="54" t="s">
        <v>398</v>
      </c>
      <c r="AG76" s="8" t="s">
        <v>29</v>
      </c>
      <c r="AH76" s="52" t="s">
        <v>399</v>
      </c>
      <c r="AI76" s="53"/>
      <c r="AJ76" s="54"/>
      <c r="AK76" s="8" t="s">
        <v>29</v>
      </c>
    </row>
    <row r="77" spans="1:37" x14ac:dyDescent="0.55000000000000004">
      <c r="A77" s="55"/>
      <c r="B77" s="57"/>
      <c r="C77" s="57" t="s">
        <v>48</v>
      </c>
      <c r="D77" s="13" t="s">
        <v>89</v>
      </c>
      <c r="E77" s="52" t="s">
        <v>400</v>
      </c>
      <c r="F77" s="53"/>
      <c r="G77" s="54"/>
      <c r="H77" s="8">
        <v>0.03</v>
      </c>
      <c r="I77" s="14" t="s">
        <v>221</v>
      </c>
      <c r="J77" s="60" t="s">
        <v>209</v>
      </c>
      <c r="K77" s="53"/>
      <c r="L77" s="54"/>
      <c r="M77" s="16" t="s">
        <v>210</v>
      </c>
      <c r="N77" s="52" t="s">
        <v>401</v>
      </c>
      <c r="O77" s="53" t="s">
        <v>402</v>
      </c>
      <c r="P77" s="54" t="s">
        <v>402</v>
      </c>
      <c r="Q77" s="8" t="s">
        <v>29</v>
      </c>
      <c r="R77" s="52" t="s">
        <v>403</v>
      </c>
      <c r="S77" s="53" t="s">
        <v>403</v>
      </c>
      <c r="T77" s="54" t="s">
        <v>403</v>
      </c>
      <c r="U77" s="8" t="s">
        <v>29</v>
      </c>
      <c r="V77" s="52" t="s">
        <v>404</v>
      </c>
      <c r="W77" s="53" t="s">
        <v>405</v>
      </c>
      <c r="X77" s="54" t="s">
        <v>405</v>
      </c>
      <c r="Y77" s="8">
        <v>5.4451499E-2</v>
      </c>
      <c r="Z77" s="52" t="s">
        <v>406</v>
      </c>
      <c r="AA77" s="53" t="s">
        <v>406</v>
      </c>
      <c r="AB77" s="54" t="s">
        <v>406</v>
      </c>
      <c r="AC77" s="8">
        <v>1.4499999999999999E-13</v>
      </c>
      <c r="AD77" s="52" t="s">
        <v>407</v>
      </c>
      <c r="AE77" s="53" t="s">
        <v>407</v>
      </c>
      <c r="AF77" s="54" t="s">
        <v>407</v>
      </c>
      <c r="AG77" s="8" t="s">
        <v>29</v>
      </c>
      <c r="AH77" s="52" t="s">
        <v>408</v>
      </c>
      <c r="AI77" s="53"/>
      <c r="AJ77" s="54"/>
      <c r="AK77" s="8" t="s">
        <v>29</v>
      </c>
    </row>
    <row r="78" spans="1:37" x14ac:dyDescent="0.55000000000000004">
      <c r="A78" s="55"/>
      <c r="B78" s="45"/>
      <c r="C78" s="45"/>
      <c r="D78" s="12" t="s">
        <v>93</v>
      </c>
      <c r="E78" s="52" t="s">
        <v>409</v>
      </c>
      <c r="F78" s="53"/>
      <c r="G78" s="54"/>
      <c r="H78" s="8">
        <v>6.3E-2</v>
      </c>
      <c r="I78" s="14" t="s">
        <v>221</v>
      </c>
      <c r="J78" s="60" t="s">
        <v>209</v>
      </c>
      <c r="K78" s="53"/>
      <c r="L78" s="54"/>
      <c r="M78" s="16" t="s">
        <v>210</v>
      </c>
      <c r="N78" s="52" t="s">
        <v>410</v>
      </c>
      <c r="O78" s="53" t="s">
        <v>411</v>
      </c>
      <c r="P78" s="54" t="s">
        <v>411</v>
      </c>
      <c r="Q78" s="8" t="s">
        <v>29</v>
      </c>
      <c r="R78" s="52" t="s">
        <v>412</v>
      </c>
      <c r="S78" s="53" t="s">
        <v>412</v>
      </c>
      <c r="T78" s="54" t="s">
        <v>412</v>
      </c>
      <c r="U78" s="8">
        <v>9.8699999999999998E-15</v>
      </c>
      <c r="V78" s="52" t="s">
        <v>413</v>
      </c>
      <c r="W78" s="53" t="s">
        <v>413</v>
      </c>
      <c r="X78" s="54" t="s">
        <v>413</v>
      </c>
      <c r="Y78" s="8">
        <v>0.39688041699999999</v>
      </c>
      <c r="Z78" s="52" t="s">
        <v>414</v>
      </c>
      <c r="AA78" s="53" t="s">
        <v>414</v>
      </c>
      <c r="AB78" s="54" t="s">
        <v>414</v>
      </c>
      <c r="AC78" s="8">
        <v>2.4469880000000002E-3</v>
      </c>
      <c r="AD78" s="52" t="s">
        <v>415</v>
      </c>
      <c r="AE78" s="53" t="s">
        <v>415</v>
      </c>
      <c r="AF78" s="54" t="s">
        <v>415</v>
      </c>
      <c r="AG78" s="8">
        <v>6.1800000000000001E-6</v>
      </c>
      <c r="AH78" s="52" t="s">
        <v>416</v>
      </c>
      <c r="AI78" s="53"/>
      <c r="AJ78" s="54"/>
      <c r="AK78" s="8">
        <v>2.1575399999999999E-6</v>
      </c>
    </row>
    <row r="79" spans="1:37" x14ac:dyDescent="0.55000000000000004">
      <c r="A79" s="55"/>
      <c r="B79" s="57" t="s">
        <v>115</v>
      </c>
      <c r="C79" s="57" t="s">
        <v>26</v>
      </c>
      <c r="D79" s="13" t="s">
        <v>89</v>
      </c>
      <c r="E79" s="52" t="s">
        <v>417</v>
      </c>
      <c r="F79" s="53"/>
      <c r="G79" s="54"/>
      <c r="H79" s="8">
        <v>3.0000000000000001E-3</v>
      </c>
      <c r="I79" s="14" t="s">
        <v>221</v>
      </c>
      <c r="J79" s="60" t="s">
        <v>209</v>
      </c>
      <c r="K79" s="53"/>
      <c r="L79" s="54"/>
      <c r="M79" s="16" t="s">
        <v>210</v>
      </c>
      <c r="N79" s="52" t="s">
        <v>418</v>
      </c>
      <c r="O79" s="53" t="s">
        <v>419</v>
      </c>
      <c r="P79" s="54" t="s">
        <v>419</v>
      </c>
      <c r="Q79" s="8" t="s">
        <v>29</v>
      </c>
      <c r="R79" s="52" t="s">
        <v>420</v>
      </c>
      <c r="S79" s="53" t="s">
        <v>420</v>
      </c>
      <c r="T79" s="54" t="s">
        <v>420</v>
      </c>
      <c r="U79" s="8" t="s">
        <v>29</v>
      </c>
      <c r="V79" s="52" t="s">
        <v>421</v>
      </c>
      <c r="W79" s="53" t="s">
        <v>421</v>
      </c>
      <c r="X79" s="54" t="s">
        <v>421</v>
      </c>
      <c r="Y79" s="8">
        <v>9.8286781000000004E-2</v>
      </c>
      <c r="Z79" s="52" t="s">
        <v>422</v>
      </c>
      <c r="AA79" s="53" t="s">
        <v>423</v>
      </c>
      <c r="AB79" s="54" t="s">
        <v>423</v>
      </c>
      <c r="AC79" s="8">
        <v>6.4099999999999996E-6</v>
      </c>
      <c r="AD79" s="52" t="s">
        <v>424</v>
      </c>
      <c r="AE79" s="53" t="s">
        <v>424</v>
      </c>
      <c r="AF79" s="54" t="s">
        <v>424</v>
      </c>
      <c r="AG79" s="8">
        <v>1.2100000000000001E-12</v>
      </c>
      <c r="AH79" s="52" t="s">
        <v>425</v>
      </c>
      <c r="AI79" s="53"/>
      <c r="AJ79" s="54"/>
      <c r="AK79" s="8">
        <v>5.7786739999999995E-13</v>
      </c>
    </row>
    <row r="80" spans="1:37" x14ac:dyDescent="0.55000000000000004">
      <c r="A80" s="55"/>
      <c r="B80" s="57"/>
      <c r="C80" s="45"/>
      <c r="D80" s="12" t="s">
        <v>93</v>
      </c>
      <c r="E80" s="52" t="s">
        <v>426</v>
      </c>
      <c r="F80" s="53"/>
      <c r="G80" s="54"/>
      <c r="H80" s="8">
        <v>3.4715250000000002E-6</v>
      </c>
      <c r="I80" s="14" t="s">
        <v>221</v>
      </c>
      <c r="J80" s="60" t="s">
        <v>209</v>
      </c>
      <c r="K80" s="53"/>
      <c r="L80" s="54"/>
      <c r="M80" s="16" t="s">
        <v>210</v>
      </c>
      <c r="N80" s="52" t="s">
        <v>427</v>
      </c>
      <c r="O80" s="53" t="s">
        <v>428</v>
      </c>
      <c r="P80" s="54" t="s">
        <v>428</v>
      </c>
      <c r="Q80" s="8" t="s">
        <v>29</v>
      </c>
      <c r="R80" s="52" t="s">
        <v>429</v>
      </c>
      <c r="S80" s="53" t="s">
        <v>429</v>
      </c>
      <c r="T80" s="54" t="s">
        <v>429</v>
      </c>
      <c r="U80" s="8">
        <v>1.9599999999999999E-15</v>
      </c>
      <c r="V80" s="52" t="s">
        <v>430</v>
      </c>
      <c r="W80" s="53" t="s">
        <v>431</v>
      </c>
      <c r="X80" s="54" t="s">
        <v>431</v>
      </c>
      <c r="Y80" s="8">
        <v>0.14840700600000001</v>
      </c>
      <c r="Z80" s="52" t="s">
        <v>432</v>
      </c>
      <c r="AA80" s="53" t="s">
        <v>433</v>
      </c>
      <c r="AB80" s="54" t="s">
        <v>433</v>
      </c>
      <c r="AC80" s="8">
        <v>0.83678266000000001</v>
      </c>
      <c r="AD80" s="52" t="s">
        <v>434</v>
      </c>
      <c r="AE80" s="53" t="s">
        <v>435</v>
      </c>
      <c r="AF80" s="54" t="s">
        <v>435</v>
      </c>
      <c r="AG80" s="8">
        <v>0.12764320500000001</v>
      </c>
      <c r="AH80" s="52" t="s">
        <v>436</v>
      </c>
      <c r="AI80" s="53"/>
      <c r="AJ80" s="54"/>
      <c r="AK80" s="8">
        <v>3.2000000000000001E-2</v>
      </c>
    </row>
    <row r="81" spans="1:37" x14ac:dyDescent="0.55000000000000004">
      <c r="A81" s="55"/>
      <c r="B81" s="57"/>
      <c r="C81" s="57" t="s">
        <v>34</v>
      </c>
      <c r="D81" s="13" t="s">
        <v>89</v>
      </c>
      <c r="E81" s="52" t="s">
        <v>437</v>
      </c>
      <c r="F81" s="53"/>
      <c r="G81" s="54"/>
      <c r="H81" s="8">
        <v>8.9999999999999993E-3</v>
      </c>
      <c r="I81" s="14">
        <v>5.1999999999999998E-2</v>
      </c>
      <c r="J81" s="60" t="s">
        <v>209</v>
      </c>
      <c r="K81" s="53"/>
      <c r="L81" s="54"/>
      <c r="M81" s="16" t="s">
        <v>210</v>
      </c>
      <c r="N81" s="52" t="s">
        <v>438</v>
      </c>
      <c r="O81" s="53" t="s">
        <v>439</v>
      </c>
      <c r="P81" s="54" t="s">
        <v>439</v>
      </c>
      <c r="Q81" s="8">
        <v>2.4699999999999998E-7</v>
      </c>
      <c r="R81" s="52" t="s">
        <v>440</v>
      </c>
      <c r="S81" s="53" t="s">
        <v>440</v>
      </c>
      <c r="T81" s="54" t="s">
        <v>440</v>
      </c>
      <c r="U81" s="8">
        <v>1.0200000000000001E-5</v>
      </c>
      <c r="V81" s="52" t="s">
        <v>441</v>
      </c>
      <c r="W81" s="53" t="s">
        <v>442</v>
      </c>
      <c r="X81" s="54" t="s">
        <v>442</v>
      </c>
      <c r="Y81" s="8">
        <v>2.8461246999999999E-2</v>
      </c>
      <c r="Z81" s="52" t="s">
        <v>443</v>
      </c>
      <c r="AA81" s="53" t="s">
        <v>443</v>
      </c>
      <c r="AB81" s="54" t="s">
        <v>443</v>
      </c>
      <c r="AC81" s="8">
        <v>1.7283743000000001E-2</v>
      </c>
      <c r="AD81" s="52" t="s">
        <v>444</v>
      </c>
      <c r="AE81" s="53" t="s">
        <v>444</v>
      </c>
      <c r="AF81" s="54" t="s">
        <v>444</v>
      </c>
      <c r="AG81" s="8">
        <v>0.12083796099999999</v>
      </c>
      <c r="AH81" s="52" t="s">
        <v>445</v>
      </c>
      <c r="AI81" s="53"/>
      <c r="AJ81" s="54"/>
      <c r="AK81" s="8">
        <v>0.44800000000000001</v>
      </c>
    </row>
    <row r="82" spans="1:37" x14ac:dyDescent="0.55000000000000004">
      <c r="A82" s="55"/>
      <c r="B82" s="57"/>
      <c r="C82" s="45"/>
      <c r="D82" s="12" t="s">
        <v>93</v>
      </c>
      <c r="E82" s="52" t="s">
        <v>446</v>
      </c>
      <c r="F82" s="53"/>
      <c r="G82" s="54"/>
      <c r="H82" s="8">
        <v>0.89900000000000002</v>
      </c>
      <c r="I82" s="14" t="s">
        <v>221</v>
      </c>
      <c r="J82" s="60" t="s">
        <v>209</v>
      </c>
      <c r="K82" s="53"/>
      <c r="L82" s="54"/>
      <c r="M82" s="16" t="s">
        <v>210</v>
      </c>
      <c r="N82" s="52" t="s">
        <v>447</v>
      </c>
      <c r="O82" s="53" t="s">
        <v>448</v>
      </c>
      <c r="P82" s="54" t="s">
        <v>448</v>
      </c>
      <c r="Q82" s="8">
        <v>8.54E-7</v>
      </c>
      <c r="R82" s="52" t="s">
        <v>449</v>
      </c>
      <c r="S82" s="53" t="s">
        <v>450</v>
      </c>
      <c r="T82" s="54" t="s">
        <v>450</v>
      </c>
      <c r="U82" s="8">
        <v>8.6509599999999999E-4</v>
      </c>
      <c r="V82" s="52" t="s">
        <v>451</v>
      </c>
      <c r="W82" s="53" t="s">
        <v>451</v>
      </c>
      <c r="X82" s="54" t="s">
        <v>451</v>
      </c>
      <c r="Y82" s="8">
        <v>0.14132120400000001</v>
      </c>
      <c r="Z82" s="52" t="s">
        <v>452</v>
      </c>
      <c r="AA82" s="53" t="s">
        <v>452</v>
      </c>
      <c r="AB82" s="54" t="s">
        <v>452</v>
      </c>
      <c r="AC82" s="8">
        <v>2.3099999999999999E-7</v>
      </c>
      <c r="AD82" s="52" t="s">
        <v>453</v>
      </c>
      <c r="AE82" s="53" t="s">
        <v>453</v>
      </c>
      <c r="AF82" s="54" t="s">
        <v>453</v>
      </c>
      <c r="AG82" s="8">
        <v>2.4499999999999999E-11</v>
      </c>
      <c r="AH82" s="52" t="s">
        <v>454</v>
      </c>
      <c r="AI82" s="53"/>
      <c r="AJ82" s="54"/>
      <c r="AK82" s="8">
        <v>2.9320400000000001E-10</v>
      </c>
    </row>
    <row r="83" spans="1:37" x14ac:dyDescent="0.55000000000000004">
      <c r="A83" s="55"/>
      <c r="B83" s="57"/>
      <c r="C83" s="57" t="s">
        <v>41</v>
      </c>
      <c r="D83" s="13" t="s">
        <v>89</v>
      </c>
      <c r="E83" s="52" t="s">
        <v>455</v>
      </c>
      <c r="F83" s="53"/>
      <c r="G83" s="54"/>
      <c r="H83" s="8">
        <v>3.6999999999999998E-2</v>
      </c>
      <c r="I83" s="14">
        <v>0.252</v>
      </c>
      <c r="J83" s="60" t="s">
        <v>209</v>
      </c>
      <c r="K83" s="53"/>
      <c r="L83" s="54"/>
      <c r="M83" s="16" t="s">
        <v>210</v>
      </c>
      <c r="N83" s="52" t="s">
        <v>456</v>
      </c>
      <c r="O83" s="53" t="s">
        <v>457</v>
      </c>
      <c r="P83" s="54" t="s">
        <v>457</v>
      </c>
      <c r="Q83" s="8">
        <v>0.50205568899999997</v>
      </c>
      <c r="R83" s="52" t="s">
        <v>458</v>
      </c>
      <c r="S83" s="53" t="s">
        <v>458</v>
      </c>
      <c r="T83" s="54" t="s">
        <v>458</v>
      </c>
      <c r="U83" s="8">
        <v>0.55483153600000001</v>
      </c>
      <c r="V83" s="52" t="s">
        <v>459</v>
      </c>
      <c r="W83" s="53" t="s">
        <v>459</v>
      </c>
      <c r="X83" s="54" t="s">
        <v>459</v>
      </c>
      <c r="Y83" s="8">
        <v>1.2114951000000001E-2</v>
      </c>
      <c r="Z83" s="52" t="s">
        <v>460</v>
      </c>
      <c r="AA83" s="53" t="s">
        <v>460</v>
      </c>
      <c r="AB83" s="54" t="s">
        <v>460</v>
      </c>
      <c r="AC83" s="8">
        <v>5.0187410000000002E-2</v>
      </c>
      <c r="AD83" s="52" t="s">
        <v>461</v>
      </c>
      <c r="AE83" s="53" t="s">
        <v>461</v>
      </c>
      <c r="AF83" s="54" t="s">
        <v>461</v>
      </c>
      <c r="AG83" s="8">
        <v>0.41161736700000001</v>
      </c>
      <c r="AH83" s="52" t="s">
        <v>462</v>
      </c>
      <c r="AI83" s="53"/>
      <c r="AJ83" s="54"/>
      <c r="AK83" s="8">
        <v>0.877</v>
      </c>
    </row>
    <row r="84" spans="1:37" x14ac:dyDescent="0.55000000000000004">
      <c r="A84" s="55"/>
      <c r="B84" s="57"/>
      <c r="C84" s="45"/>
      <c r="D84" s="12" t="s">
        <v>93</v>
      </c>
      <c r="E84" s="52" t="s">
        <v>463</v>
      </c>
      <c r="F84" s="53"/>
      <c r="G84" s="54"/>
      <c r="H84" s="8">
        <v>0.40799999999999997</v>
      </c>
      <c r="I84" s="14">
        <v>0.121</v>
      </c>
      <c r="J84" s="60" t="s">
        <v>209</v>
      </c>
      <c r="K84" s="53"/>
      <c r="L84" s="54"/>
      <c r="M84" s="16" t="s">
        <v>210</v>
      </c>
      <c r="N84" s="52" t="s">
        <v>464</v>
      </c>
      <c r="O84" s="53" t="s">
        <v>464</v>
      </c>
      <c r="P84" s="54" t="s">
        <v>464</v>
      </c>
      <c r="Q84" s="8">
        <v>7.8999599999999993E-3</v>
      </c>
      <c r="R84" s="52" t="s">
        <v>465</v>
      </c>
      <c r="S84" s="53" t="s">
        <v>465</v>
      </c>
      <c r="T84" s="54" t="s">
        <v>465</v>
      </c>
      <c r="U84" s="8">
        <v>2.3968629000000002E-2</v>
      </c>
      <c r="V84" s="52" t="s">
        <v>466</v>
      </c>
      <c r="W84" s="53" t="s">
        <v>467</v>
      </c>
      <c r="X84" s="54" t="s">
        <v>467</v>
      </c>
      <c r="Y84" s="8">
        <v>1.8623908000000002E-2</v>
      </c>
      <c r="Z84" s="52" t="s">
        <v>468</v>
      </c>
      <c r="AA84" s="53" t="s">
        <v>468</v>
      </c>
      <c r="AB84" s="54" t="s">
        <v>468</v>
      </c>
      <c r="AC84" s="8">
        <v>2.1718400999999998E-2</v>
      </c>
      <c r="AD84" s="52" t="s">
        <v>469</v>
      </c>
      <c r="AE84" s="53" t="s">
        <v>469</v>
      </c>
      <c r="AF84" s="54" t="s">
        <v>469</v>
      </c>
      <c r="AG84" s="8">
        <v>0.175234116</v>
      </c>
      <c r="AH84" s="52" t="s">
        <v>470</v>
      </c>
      <c r="AI84" s="53"/>
      <c r="AJ84" s="54"/>
      <c r="AK84" s="8">
        <v>0.66</v>
      </c>
    </row>
    <row r="85" spans="1:37" x14ac:dyDescent="0.55000000000000004">
      <c r="A85" s="55"/>
      <c r="B85" s="57"/>
      <c r="C85" s="57" t="s">
        <v>48</v>
      </c>
      <c r="D85" s="13" t="s">
        <v>89</v>
      </c>
      <c r="E85" s="52" t="s">
        <v>471</v>
      </c>
      <c r="F85" s="53"/>
      <c r="G85" s="54"/>
      <c r="H85" s="8">
        <v>4.2999999999999997E-2</v>
      </c>
      <c r="I85" s="14" t="s">
        <v>221</v>
      </c>
      <c r="J85" s="60" t="s">
        <v>209</v>
      </c>
      <c r="K85" s="53"/>
      <c r="L85" s="54"/>
      <c r="M85" s="16" t="s">
        <v>210</v>
      </c>
      <c r="N85" s="52" t="s">
        <v>472</v>
      </c>
      <c r="O85" s="53" t="s">
        <v>473</v>
      </c>
      <c r="P85" s="54" t="s">
        <v>473</v>
      </c>
      <c r="Q85" s="8">
        <v>3.8799999999999999E-15</v>
      </c>
      <c r="R85" s="52" t="s">
        <v>474</v>
      </c>
      <c r="S85" s="53" t="s">
        <v>475</v>
      </c>
      <c r="T85" s="54" t="s">
        <v>475</v>
      </c>
      <c r="U85" s="8">
        <v>3.6699999999999999E-9</v>
      </c>
      <c r="V85" s="52" t="s">
        <v>476</v>
      </c>
      <c r="W85" s="53" t="s">
        <v>477</v>
      </c>
      <c r="X85" s="54" t="s">
        <v>477</v>
      </c>
      <c r="Y85" s="8">
        <v>5.0899999999999997E-5</v>
      </c>
      <c r="Z85" s="52" t="s">
        <v>478</v>
      </c>
      <c r="AA85" s="53" t="s">
        <v>478</v>
      </c>
      <c r="AB85" s="54" t="s">
        <v>478</v>
      </c>
      <c r="AC85" s="8">
        <v>6.2299999999999999E-15</v>
      </c>
      <c r="AD85" s="52" t="s">
        <v>479</v>
      </c>
      <c r="AE85" s="53" t="s">
        <v>480</v>
      </c>
      <c r="AF85" s="54" t="s">
        <v>480</v>
      </c>
      <c r="AG85" s="8" t="s">
        <v>29</v>
      </c>
      <c r="AH85" s="52" t="s">
        <v>481</v>
      </c>
      <c r="AI85" s="53"/>
      <c r="AJ85" s="54"/>
      <c r="AK85" s="8" t="s">
        <v>29</v>
      </c>
    </row>
    <row r="86" spans="1:37" x14ac:dyDescent="0.55000000000000004">
      <c r="A86" s="56"/>
      <c r="B86" s="45"/>
      <c r="C86" s="45"/>
      <c r="D86" s="12" t="s">
        <v>93</v>
      </c>
      <c r="E86" s="52" t="s">
        <v>482</v>
      </c>
      <c r="F86" s="53"/>
      <c r="G86" s="54"/>
      <c r="H86" s="8">
        <v>0.57099999999999995</v>
      </c>
      <c r="I86" s="14" t="s">
        <v>221</v>
      </c>
      <c r="J86" s="60" t="s">
        <v>209</v>
      </c>
      <c r="K86" s="53"/>
      <c r="L86" s="54"/>
      <c r="M86" s="16" t="s">
        <v>210</v>
      </c>
      <c r="N86" s="52" t="s">
        <v>483</v>
      </c>
      <c r="O86" s="53" t="s">
        <v>484</v>
      </c>
      <c r="P86" s="54" t="s">
        <v>484</v>
      </c>
      <c r="Q86" s="8">
        <v>0.478499911</v>
      </c>
      <c r="R86" s="52" t="s">
        <v>485</v>
      </c>
      <c r="S86" s="53" t="s">
        <v>485</v>
      </c>
      <c r="T86" s="54" t="s">
        <v>485</v>
      </c>
      <c r="U86" s="8">
        <v>0.425659175</v>
      </c>
      <c r="V86" s="52" t="s">
        <v>486</v>
      </c>
      <c r="W86" s="53" t="s">
        <v>486</v>
      </c>
      <c r="X86" s="54" t="s">
        <v>486</v>
      </c>
      <c r="Y86" s="8">
        <v>0.33199685800000001</v>
      </c>
      <c r="Z86" s="52" t="s">
        <v>487</v>
      </c>
      <c r="AA86" s="53" t="s">
        <v>488</v>
      </c>
      <c r="AB86" s="54" t="s">
        <v>488</v>
      </c>
      <c r="AC86" s="8">
        <v>2.37E-8</v>
      </c>
      <c r="AD86" s="52" t="s">
        <v>489</v>
      </c>
      <c r="AE86" s="53" t="s">
        <v>490</v>
      </c>
      <c r="AF86" s="54" t="s">
        <v>490</v>
      </c>
      <c r="AG86" s="8">
        <v>1.37E-13</v>
      </c>
      <c r="AH86" s="52" t="s">
        <v>491</v>
      </c>
      <c r="AI86" s="53"/>
      <c r="AJ86" s="54"/>
      <c r="AK86" s="8">
        <v>7.6409389999999996E-13</v>
      </c>
    </row>
  </sheetData>
  <mergeCells count="433">
    <mergeCell ref="E85:G85"/>
    <mergeCell ref="J85:L85"/>
    <mergeCell ref="N85:P85"/>
    <mergeCell ref="R85:T85"/>
    <mergeCell ref="V85:X85"/>
    <mergeCell ref="Z85:AB85"/>
    <mergeCell ref="AD85:AF85"/>
    <mergeCell ref="AH85:AJ85"/>
    <mergeCell ref="E86:G86"/>
    <mergeCell ref="J86:L86"/>
    <mergeCell ref="N86:P86"/>
    <mergeCell ref="R86:T86"/>
    <mergeCell ref="V86:X86"/>
    <mergeCell ref="Z86:AB86"/>
    <mergeCell ref="AD86:AF86"/>
    <mergeCell ref="AH86:AJ86"/>
    <mergeCell ref="R83:T83"/>
    <mergeCell ref="V83:X83"/>
    <mergeCell ref="Z83:AB83"/>
    <mergeCell ref="AD83:AF83"/>
    <mergeCell ref="AH83:AJ83"/>
    <mergeCell ref="E84:G84"/>
    <mergeCell ref="J84:L84"/>
    <mergeCell ref="N84:P84"/>
    <mergeCell ref="R84:T84"/>
    <mergeCell ref="V84:X84"/>
    <mergeCell ref="Z84:AB84"/>
    <mergeCell ref="AD84:AF84"/>
    <mergeCell ref="AH84:AJ84"/>
    <mergeCell ref="AD81:AF81"/>
    <mergeCell ref="AH81:AJ81"/>
    <mergeCell ref="E82:G82"/>
    <mergeCell ref="J82:L82"/>
    <mergeCell ref="N82:P82"/>
    <mergeCell ref="R82:T82"/>
    <mergeCell ref="V82:X82"/>
    <mergeCell ref="Z82:AB82"/>
    <mergeCell ref="AD82:AF82"/>
    <mergeCell ref="AH82:AJ82"/>
    <mergeCell ref="R79:T79"/>
    <mergeCell ref="C83:C84"/>
    <mergeCell ref="E83:G83"/>
    <mergeCell ref="J83:L83"/>
    <mergeCell ref="N83:P83"/>
    <mergeCell ref="V79:X79"/>
    <mergeCell ref="Z79:AB79"/>
    <mergeCell ref="AD79:AF79"/>
    <mergeCell ref="AH79:AJ79"/>
    <mergeCell ref="E80:G80"/>
    <mergeCell ref="J80:L80"/>
    <mergeCell ref="N80:P80"/>
    <mergeCell ref="R80:T80"/>
    <mergeCell ref="V80:X80"/>
    <mergeCell ref="Z80:AB80"/>
    <mergeCell ref="AD80:AF80"/>
    <mergeCell ref="AH80:AJ80"/>
    <mergeCell ref="C81:C82"/>
    <mergeCell ref="E81:G81"/>
    <mergeCell ref="J81:L81"/>
    <mergeCell ref="N81:P81"/>
    <mergeCell ref="R81:T81"/>
    <mergeCell ref="V81:X81"/>
    <mergeCell ref="Z81:AB81"/>
    <mergeCell ref="R77:T77"/>
    <mergeCell ref="V77:X77"/>
    <mergeCell ref="Z77:AB77"/>
    <mergeCell ref="AD77:AF77"/>
    <mergeCell ref="AH77:AJ77"/>
    <mergeCell ref="E78:G78"/>
    <mergeCell ref="J78:L78"/>
    <mergeCell ref="N78:P78"/>
    <mergeCell ref="R78:T78"/>
    <mergeCell ref="V78:X78"/>
    <mergeCell ref="Z78:AB78"/>
    <mergeCell ref="AD78:AF78"/>
    <mergeCell ref="AH78:AJ78"/>
    <mergeCell ref="R75:T75"/>
    <mergeCell ref="V75:X75"/>
    <mergeCell ref="Z75:AB75"/>
    <mergeCell ref="AD75:AF75"/>
    <mergeCell ref="AH75:AJ75"/>
    <mergeCell ref="E76:G76"/>
    <mergeCell ref="J76:L76"/>
    <mergeCell ref="N76:P76"/>
    <mergeCell ref="R76:T76"/>
    <mergeCell ref="V76:X76"/>
    <mergeCell ref="Z76:AB76"/>
    <mergeCell ref="AD76:AF76"/>
    <mergeCell ref="AH76:AJ76"/>
    <mergeCell ref="R73:T73"/>
    <mergeCell ref="V73:X73"/>
    <mergeCell ref="Z73:AB73"/>
    <mergeCell ref="AD73:AF73"/>
    <mergeCell ref="AH73:AJ73"/>
    <mergeCell ref="E74:G74"/>
    <mergeCell ref="J74:L74"/>
    <mergeCell ref="N74:P74"/>
    <mergeCell ref="R74:T74"/>
    <mergeCell ref="V74:X74"/>
    <mergeCell ref="Z74:AB74"/>
    <mergeCell ref="AD74:AF74"/>
    <mergeCell ref="AH74:AJ74"/>
    <mergeCell ref="R71:T71"/>
    <mergeCell ref="V71:X71"/>
    <mergeCell ref="Z71:AB71"/>
    <mergeCell ref="AD71:AF71"/>
    <mergeCell ref="AH71:AJ71"/>
    <mergeCell ref="E72:G72"/>
    <mergeCell ref="J72:L72"/>
    <mergeCell ref="N72:P72"/>
    <mergeCell ref="R72:T72"/>
    <mergeCell ref="V72:X72"/>
    <mergeCell ref="Z72:AB72"/>
    <mergeCell ref="AD72:AF72"/>
    <mergeCell ref="AH72:AJ72"/>
    <mergeCell ref="A71:A86"/>
    <mergeCell ref="B71:B78"/>
    <mergeCell ref="C71:C72"/>
    <mergeCell ref="E71:G71"/>
    <mergeCell ref="J71:L71"/>
    <mergeCell ref="N71:P71"/>
    <mergeCell ref="C75:C76"/>
    <mergeCell ref="E75:G75"/>
    <mergeCell ref="J75:L75"/>
    <mergeCell ref="N75:P75"/>
    <mergeCell ref="C73:C74"/>
    <mergeCell ref="E73:G73"/>
    <mergeCell ref="J73:L73"/>
    <mergeCell ref="N73:P73"/>
    <mergeCell ref="C77:C78"/>
    <mergeCell ref="E77:G77"/>
    <mergeCell ref="J77:L77"/>
    <mergeCell ref="N77:P77"/>
    <mergeCell ref="B79:B86"/>
    <mergeCell ref="C79:C80"/>
    <mergeCell ref="E79:G79"/>
    <mergeCell ref="J79:L79"/>
    <mergeCell ref="N79:P79"/>
    <mergeCell ref="C85:C86"/>
    <mergeCell ref="E69:G69"/>
    <mergeCell ref="J69:L69"/>
    <mergeCell ref="N69:P69"/>
    <mergeCell ref="R69:T69"/>
    <mergeCell ref="V69:X69"/>
    <mergeCell ref="Z69:AB69"/>
    <mergeCell ref="AD69:AF69"/>
    <mergeCell ref="AH69:AJ69"/>
    <mergeCell ref="E70:G70"/>
    <mergeCell ref="J70:L70"/>
    <mergeCell ref="N70:P70"/>
    <mergeCell ref="R70:T70"/>
    <mergeCell ref="V70:X70"/>
    <mergeCell ref="Z70:AB70"/>
    <mergeCell ref="AD70:AF70"/>
    <mergeCell ref="AH70:AJ70"/>
    <mergeCell ref="R67:T67"/>
    <mergeCell ref="V67:X67"/>
    <mergeCell ref="Z67:AB67"/>
    <mergeCell ref="AD67:AF67"/>
    <mergeCell ref="AH67:AJ67"/>
    <mergeCell ref="E68:G68"/>
    <mergeCell ref="J68:L68"/>
    <mergeCell ref="N68:P68"/>
    <mergeCell ref="R68:T68"/>
    <mergeCell ref="V68:X68"/>
    <mergeCell ref="Z68:AB68"/>
    <mergeCell ref="AD68:AF68"/>
    <mergeCell ref="AH68:AJ68"/>
    <mergeCell ref="AD65:AF65"/>
    <mergeCell ref="AH65:AJ65"/>
    <mergeCell ref="E66:G66"/>
    <mergeCell ref="J66:L66"/>
    <mergeCell ref="N66:P66"/>
    <mergeCell ref="R66:T66"/>
    <mergeCell ref="V66:X66"/>
    <mergeCell ref="Z66:AB66"/>
    <mergeCell ref="AD66:AF66"/>
    <mergeCell ref="AH66:AJ66"/>
    <mergeCell ref="R63:T63"/>
    <mergeCell ref="C67:C68"/>
    <mergeCell ref="E67:G67"/>
    <mergeCell ref="J67:L67"/>
    <mergeCell ref="N67:P67"/>
    <mergeCell ref="V63:X63"/>
    <mergeCell ref="Z63:AB63"/>
    <mergeCell ref="AD63:AF63"/>
    <mergeCell ref="AH63:AJ63"/>
    <mergeCell ref="E64:G64"/>
    <mergeCell ref="J64:L64"/>
    <mergeCell ref="N64:P64"/>
    <mergeCell ref="R64:T64"/>
    <mergeCell ref="V64:X64"/>
    <mergeCell ref="Z64:AB64"/>
    <mergeCell ref="AD64:AF64"/>
    <mergeCell ref="AH64:AJ64"/>
    <mergeCell ref="C65:C66"/>
    <mergeCell ref="E65:G65"/>
    <mergeCell ref="J65:L65"/>
    <mergeCell ref="N65:P65"/>
    <mergeCell ref="R65:T65"/>
    <mergeCell ref="V65:X65"/>
    <mergeCell ref="Z65:AB65"/>
    <mergeCell ref="R61:T61"/>
    <mergeCell ref="V61:X61"/>
    <mergeCell ref="Z61:AB61"/>
    <mergeCell ref="AD61:AF61"/>
    <mergeCell ref="AH61:AJ61"/>
    <mergeCell ref="E62:G62"/>
    <mergeCell ref="J62:L62"/>
    <mergeCell ref="N62:P62"/>
    <mergeCell ref="R62:T62"/>
    <mergeCell ref="V62:X62"/>
    <mergeCell ref="Z62:AB62"/>
    <mergeCell ref="AD62:AF62"/>
    <mergeCell ref="AH62:AJ62"/>
    <mergeCell ref="R59:T59"/>
    <mergeCell ref="V59:X59"/>
    <mergeCell ref="Z59:AB59"/>
    <mergeCell ref="AD59:AF59"/>
    <mergeCell ref="AH59:AJ59"/>
    <mergeCell ref="E60:G60"/>
    <mergeCell ref="J60:L60"/>
    <mergeCell ref="N60:P60"/>
    <mergeCell ref="R60:T60"/>
    <mergeCell ref="V60:X60"/>
    <mergeCell ref="Z60:AB60"/>
    <mergeCell ref="AD60:AF60"/>
    <mergeCell ref="AH60:AJ60"/>
    <mergeCell ref="R57:T57"/>
    <mergeCell ref="V57:X57"/>
    <mergeCell ref="Z57:AB57"/>
    <mergeCell ref="AD57:AF57"/>
    <mergeCell ref="AH57:AJ57"/>
    <mergeCell ref="E58:G58"/>
    <mergeCell ref="J58:L58"/>
    <mergeCell ref="N58:P58"/>
    <mergeCell ref="R58:T58"/>
    <mergeCell ref="V58:X58"/>
    <mergeCell ref="Z58:AB58"/>
    <mergeCell ref="AD58:AF58"/>
    <mergeCell ref="AH58:AJ58"/>
    <mergeCell ref="R55:T55"/>
    <mergeCell ref="V55:X55"/>
    <mergeCell ref="Z55:AB55"/>
    <mergeCell ref="AD55:AF55"/>
    <mergeCell ref="AH55:AJ55"/>
    <mergeCell ref="E56:G56"/>
    <mergeCell ref="J56:L56"/>
    <mergeCell ref="N56:P56"/>
    <mergeCell ref="R56:T56"/>
    <mergeCell ref="V56:X56"/>
    <mergeCell ref="Z56:AB56"/>
    <mergeCell ref="AD56:AF56"/>
    <mergeCell ref="AH56:AJ56"/>
    <mergeCell ref="A55:A70"/>
    <mergeCell ref="B55:B62"/>
    <mergeCell ref="C55:C56"/>
    <mergeCell ref="E55:G55"/>
    <mergeCell ref="J55:L55"/>
    <mergeCell ref="N55:P55"/>
    <mergeCell ref="C59:C60"/>
    <mergeCell ref="E59:G59"/>
    <mergeCell ref="J59:L59"/>
    <mergeCell ref="N59:P59"/>
    <mergeCell ref="C57:C58"/>
    <mergeCell ref="E57:G57"/>
    <mergeCell ref="J57:L57"/>
    <mergeCell ref="N57:P57"/>
    <mergeCell ref="C61:C62"/>
    <mergeCell ref="E61:G61"/>
    <mergeCell ref="J61:L61"/>
    <mergeCell ref="N61:P61"/>
    <mergeCell ref="B63:B70"/>
    <mergeCell ref="C63:C64"/>
    <mergeCell ref="E63:G63"/>
    <mergeCell ref="J63:L63"/>
    <mergeCell ref="N63:P63"/>
    <mergeCell ref="C69:C70"/>
    <mergeCell ref="N54:P54"/>
    <mergeCell ref="R54:T54"/>
    <mergeCell ref="V54:X54"/>
    <mergeCell ref="Z54:AB54"/>
    <mergeCell ref="AD54:AF54"/>
    <mergeCell ref="AH54:AJ54"/>
    <mergeCell ref="N53:Q53"/>
    <mergeCell ref="R53:U53"/>
    <mergeCell ref="V53:Y53"/>
    <mergeCell ref="Z53:AC53"/>
    <mergeCell ref="AD53:AG53"/>
    <mergeCell ref="AH53:AK53"/>
    <mergeCell ref="C47:C48"/>
    <mergeCell ref="E47:G47"/>
    <mergeCell ref="I47:K47"/>
    <mergeCell ref="M47:O47"/>
    <mergeCell ref="E48:G48"/>
    <mergeCell ref="A53:A54"/>
    <mergeCell ref="B53:B54"/>
    <mergeCell ref="C53:C54"/>
    <mergeCell ref="D53:D54"/>
    <mergeCell ref="E53:I53"/>
    <mergeCell ref="J53:M53"/>
    <mergeCell ref="E54:G54"/>
    <mergeCell ref="J54:L54"/>
    <mergeCell ref="I48:K48"/>
    <mergeCell ref="M48:O48"/>
    <mergeCell ref="C49:C50"/>
    <mergeCell ref="E49:G49"/>
    <mergeCell ref="I49:K49"/>
    <mergeCell ref="M49:O49"/>
    <mergeCell ref="E50:G50"/>
    <mergeCell ref="I50:K50"/>
    <mergeCell ref="M50:O50"/>
    <mergeCell ref="B43:B50"/>
    <mergeCell ref="C43:C44"/>
    <mergeCell ref="M37:O37"/>
    <mergeCell ref="E38:G38"/>
    <mergeCell ref="I38:K38"/>
    <mergeCell ref="M38:O38"/>
    <mergeCell ref="M44:O44"/>
    <mergeCell ref="C45:C46"/>
    <mergeCell ref="E45:G45"/>
    <mergeCell ref="C41:C42"/>
    <mergeCell ref="E41:G41"/>
    <mergeCell ref="I41:K41"/>
    <mergeCell ref="M41:O41"/>
    <mergeCell ref="E42:G42"/>
    <mergeCell ref="I42:K42"/>
    <mergeCell ref="M42:O42"/>
    <mergeCell ref="I45:K45"/>
    <mergeCell ref="M45:O45"/>
    <mergeCell ref="E46:G46"/>
    <mergeCell ref="I46:K46"/>
    <mergeCell ref="M46:O46"/>
    <mergeCell ref="E43:G43"/>
    <mergeCell ref="I43:K43"/>
    <mergeCell ref="M43:O43"/>
    <mergeCell ref="E44:G44"/>
    <mergeCell ref="I44:K44"/>
    <mergeCell ref="I33:K33"/>
    <mergeCell ref="M33:O33"/>
    <mergeCell ref="E34:G34"/>
    <mergeCell ref="I34:K34"/>
    <mergeCell ref="M34:O34"/>
    <mergeCell ref="A35:A50"/>
    <mergeCell ref="B35:B42"/>
    <mergeCell ref="C35:C36"/>
    <mergeCell ref="E35:G35"/>
    <mergeCell ref="I35:K35"/>
    <mergeCell ref="M35:O35"/>
    <mergeCell ref="E36:G36"/>
    <mergeCell ref="I36:K36"/>
    <mergeCell ref="M36:O36"/>
    <mergeCell ref="C37:C38"/>
    <mergeCell ref="C39:C40"/>
    <mergeCell ref="E39:G39"/>
    <mergeCell ref="I39:K39"/>
    <mergeCell ref="M39:O39"/>
    <mergeCell ref="E40:G40"/>
    <mergeCell ref="I40:K40"/>
    <mergeCell ref="M40:O40"/>
    <mergeCell ref="E37:G37"/>
    <mergeCell ref="I37:K37"/>
    <mergeCell ref="B27:B34"/>
    <mergeCell ref="C27:C28"/>
    <mergeCell ref="E27:G27"/>
    <mergeCell ref="I27:K27"/>
    <mergeCell ref="M27:O27"/>
    <mergeCell ref="E28:G28"/>
    <mergeCell ref="I28:K28"/>
    <mergeCell ref="M28:O28"/>
    <mergeCell ref="C29:C30"/>
    <mergeCell ref="E29:G29"/>
    <mergeCell ref="I29:K29"/>
    <mergeCell ref="M29:O29"/>
    <mergeCell ref="E30:G30"/>
    <mergeCell ref="I30:K30"/>
    <mergeCell ref="M30:O30"/>
    <mergeCell ref="C31:C32"/>
    <mergeCell ref="E31:G31"/>
    <mergeCell ref="I31:K31"/>
    <mergeCell ref="M31:O31"/>
    <mergeCell ref="E32:G32"/>
    <mergeCell ref="I32:K32"/>
    <mergeCell ref="M32:O32"/>
    <mergeCell ref="C33:C34"/>
    <mergeCell ref="E33:G33"/>
    <mergeCell ref="A19:A34"/>
    <mergeCell ref="B19:B26"/>
    <mergeCell ref="C19:C20"/>
    <mergeCell ref="E19:G19"/>
    <mergeCell ref="I19:K19"/>
    <mergeCell ref="M19:O19"/>
    <mergeCell ref="E20:G20"/>
    <mergeCell ref="I20:K20"/>
    <mergeCell ref="M20:O20"/>
    <mergeCell ref="C21:C22"/>
    <mergeCell ref="C25:C26"/>
    <mergeCell ref="E25:G25"/>
    <mergeCell ref="I25:K25"/>
    <mergeCell ref="M25:O25"/>
    <mergeCell ref="E26:G26"/>
    <mergeCell ref="I26:K26"/>
    <mergeCell ref="M26:O26"/>
    <mergeCell ref="C23:C24"/>
    <mergeCell ref="E23:G23"/>
    <mergeCell ref="I23:K23"/>
    <mergeCell ref="M23:O23"/>
    <mergeCell ref="E24:G24"/>
    <mergeCell ref="I24:K24"/>
    <mergeCell ref="M24:O24"/>
    <mergeCell ref="M17:P17"/>
    <mergeCell ref="E18:G18"/>
    <mergeCell ref="I18:K18"/>
    <mergeCell ref="M18:O18"/>
    <mergeCell ref="E21:G21"/>
    <mergeCell ref="I21:K21"/>
    <mergeCell ref="M21:O21"/>
    <mergeCell ref="E22:G22"/>
    <mergeCell ref="I22:K22"/>
    <mergeCell ref="M22:O22"/>
    <mergeCell ref="A1:A2"/>
    <mergeCell ref="B1:D1"/>
    <mergeCell ref="E1:G1"/>
    <mergeCell ref="H1:J1"/>
    <mergeCell ref="A9:A10"/>
    <mergeCell ref="B9:D9"/>
    <mergeCell ref="E9:G9"/>
    <mergeCell ref="H9:J9"/>
    <mergeCell ref="B17:B18"/>
    <mergeCell ref="C17:C18"/>
    <mergeCell ref="D17:D18"/>
    <mergeCell ref="E17:H17"/>
    <mergeCell ref="I17:L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86462-1DB1-4100-8661-625FF5F54287}">
  <dimension ref="A1:G24"/>
  <sheetViews>
    <sheetView workbookViewId="0">
      <selection activeCell="I12" sqref="I12"/>
    </sheetView>
  </sheetViews>
  <sheetFormatPr defaultRowHeight="14.4" x14ac:dyDescent="0.55000000000000004"/>
  <cols>
    <col min="1" max="1" width="31.41796875" bestFit="1" customWidth="1"/>
    <col min="2" max="2" width="15.83984375" customWidth="1"/>
    <col min="3" max="3" width="19" bestFit="1" customWidth="1"/>
    <col min="5" max="5" width="11.83984375" customWidth="1"/>
  </cols>
  <sheetData>
    <row r="1" spans="1:7" ht="16.2" x14ac:dyDescent="0.55000000000000004">
      <c r="A1" s="19" t="s">
        <v>492</v>
      </c>
      <c r="B1" s="19" t="s">
        <v>493</v>
      </c>
      <c r="C1" s="19" t="s">
        <v>494</v>
      </c>
      <c r="D1" s="20" t="s">
        <v>20</v>
      </c>
      <c r="E1" s="19" t="s">
        <v>495</v>
      </c>
      <c r="F1" s="21"/>
      <c r="G1" s="21" t="s">
        <v>496</v>
      </c>
    </row>
    <row r="2" spans="1:7" x14ac:dyDescent="0.55000000000000004">
      <c r="A2" s="64" t="s">
        <v>497</v>
      </c>
      <c r="B2" s="65" t="s">
        <v>498</v>
      </c>
      <c r="C2" s="22" t="s">
        <v>499</v>
      </c>
      <c r="D2" s="23">
        <v>3.47E-11</v>
      </c>
      <c r="E2" s="64" t="s">
        <v>29</v>
      </c>
      <c r="F2" s="21"/>
      <c r="G2" s="21"/>
    </row>
    <row r="3" spans="1:7" x14ac:dyDescent="0.55000000000000004">
      <c r="A3" s="64"/>
      <c r="B3" s="64"/>
      <c r="C3" s="22" t="s">
        <v>81</v>
      </c>
      <c r="D3" s="23">
        <v>0.34599999999999997</v>
      </c>
      <c r="E3" s="64"/>
      <c r="F3" s="21"/>
      <c r="G3" s="21"/>
    </row>
    <row r="4" spans="1:7" x14ac:dyDescent="0.55000000000000004">
      <c r="A4" s="64"/>
      <c r="B4" s="64"/>
      <c r="C4" s="22" t="s">
        <v>500</v>
      </c>
      <c r="D4" s="23" t="s">
        <v>29</v>
      </c>
      <c r="E4" s="64"/>
      <c r="F4" s="21"/>
      <c r="G4" s="21"/>
    </row>
    <row r="5" spans="1:7" ht="16.2" x14ac:dyDescent="0.55000000000000004">
      <c r="A5" s="64"/>
      <c r="B5" s="64"/>
      <c r="C5" s="22" t="s">
        <v>653</v>
      </c>
      <c r="D5" s="23">
        <v>1.6799999999999998E-5</v>
      </c>
      <c r="E5" s="64"/>
      <c r="F5" s="21"/>
      <c r="G5" s="21"/>
    </row>
    <row r="6" spans="1:7" x14ac:dyDescent="0.55000000000000004">
      <c r="A6" s="64" t="s">
        <v>501</v>
      </c>
      <c r="B6" s="65" t="s">
        <v>502</v>
      </c>
      <c r="C6" s="22" t="s">
        <v>503</v>
      </c>
      <c r="D6" s="23">
        <v>0.84</v>
      </c>
      <c r="E6" s="64" t="s">
        <v>29</v>
      </c>
      <c r="F6" s="21"/>
      <c r="G6" s="21"/>
    </row>
    <row r="7" spans="1:7" x14ac:dyDescent="0.55000000000000004">
      <c r="A7" s="64"/>
      <c r="B7" s="65"/>
      <c r="C7" s="22" t="s">
        <v>81</v>
      </c>
      <c r="D7" s="8">
        <v>1.0999999999999999E-2</v>
      </c>
      <c r="E7" s="64"/>
      <c r="F7" s="21"/>
      <c r="G7" s="21"/>
    </row>
    <row r="8" spans="1:7" x14ac:dyDescent="0.55000000000000004">
      <c r="A8" s="64"/>
      <c r="B8" s="65"/>
      <c r="C8" s="22" t="s">
        <v>500</v>
      </c>
      <c r="D8" s="23" t="s">
        <v>29</v>
      </c>
      <c r="E8" s="64"/>
      <c r="F8" s="21"/>
      <c r="G8" s="21"/>
    </row>
    <row r="9" spans="1:7" ht="16.2" x14ac:dyDescent="0.55000000000000004">
      <c r="A9" s="64"/>
      <c r="B9" s="65"/>
      <c r="C9" s="22" t="s">
        <v>653</v>
      </c>
      <c r="D9" s="23">
        <v>2.2000000000000001E-3</v>
      </c>
      <c r="E9" s="64"/>
      <c r="F9" s="21"/>
      <c r="G9" s="21"/>
    </row>
    <row r="10" spans="1:7" x14ac:dyDescent="0.55000000000000004">
      <c r="A10" s="64" t="s">
        <v>504</v>
      </c>
      <c r="B10" s="65" t="s">
        <v>505</v>
      </c>
      <c r="C10" s="22" t="s">
        <v>506</v>
      </c>
      <c r="D10" s="23">
        <v>0.66200000000000003</v>
      </c>
      <c r="E10" s="64" t="s">
        <v>29</v>
      </c>
      <c r="F10" s="21"/>
      <c r="G10" s="21"/>
    </row>
    <row r="11" spans="1:7" x14ac:dyDescent="0.55000000000000004">
      <c r="A11" s="64"/>
      <c r="B11" s="65"/>
      <c r="C11" s="22" t="s">
        <v>81</v>
      </c>
      <c r="D11" s="8">
        <v>6.3E-3</v>
      </c>
      <c r="E11" s="64"/>
      <c r="F11" s="21"/>
      <c r="G11" s="21"/>
    </row>
    <row r="12" spans="1:7" x14ac:dyDescent="0.55000000000000004">
      <c r="A12" s="64"/>
      <c r="B12" s="65"/>
      <c r="C12" s="22" t="s">
        <v>500</v>
      </c>
      <c r="D12" s="23" t="s">
        <v>29</v>
      </c>
      <c r="E12" s="64"/>
      <c r="F12" s="21"/>
      <c r="G12" s="21"/>
    </row>
    <row r="13" spans="1:7" ht="16.2" x14ac:dyDescent="0.55000000000000004">
      <c r="A13" s="64"/>
      <c r="B13" s="65"/>
      <c r="C13" s="22" t="s">
        <v>653</v>
      </c>
      <c r="D13" s="23">
        <v>6.1799999999999995E-4</v>
      </c>
      <c r="E13" s="64"/>
      <c r="F13" s="21"/>
      <c r="G13" s="21"/>
    </row>
    <row r="14" spans="1:7" x14ac:dyDescent="0.55000000000000004">
      <c r="A14" s="64" t="s">
        <v>507</v>
      </c>
      <c r="B14" s="65" t="s">
        <v>508</v>
      </c>
      <c r="C14" s="22" t="s">
        <v>509</v>
      </c>
      <c r="D14" s="24">
        <v>8.8999999999999996E-2</v>
      </c>
      <c r="E14" s="64" t="s">
        <v>29</v>
      </c>
      <c r="F14" s="21"/>
      <c r="G14" s="21"/>
    </row>
    <row r="15" spans="1:7" x14ac:dyDescent="0.55000000000000004">
      <c r="A15" s="64"/>
      <c r="B15" s="65"/>
      <c r="C15" s="22" t="s">
        <v>81</v>
      </c>
      <c r="D15" s="23">
        <v>4.8359999999999998E-5</v>
      </c>
      <c r="E15" s="64"/>
      <c r="F15" s="21"/>
      <c r="G15" s="21"/>
    </row>
    <row r="16" spans="1:7" x14ac:dyDescent="0.55000000000000004">
      <c r="A16" s="64"/>
      <c r="B16" s="65"/>
      <c r="C16" s="22" t="s">
        <v>500</v>
      </c>
      <c r="D16" s="23" t="s">
        <v>29</v>
      </c>
      <c r="E16" s="64"/>
      <c r="F16" s="21"/>
      <c r="G16" s="21"/>
    </row>
    <row r="17" spans="1:7" ht="16.2" x14ac:dyDescent="0.55000000000000004">
      <c r="A17" s="64"/>
      <c r="B17" s="65"/>
      <c r="C17" s="22" t="s">
        <v>653</v>
      </c>
      <c r="D17" s="23">
        <v>2.1800000000000001E-5</v>
      </c>
      <c r="E17" s="64"/>
      <c r="F17" s="21"/>
      <c r="G17" s="21"/>
    </row>
    <row r="18" spans="1:7" x14ac:dyDescent="0.55000000000000004">
      <c r="A18" s="64" t="s">
        <v>510</v>
      </c>
      <c r="B18" s="65" t="s">
        <v>511</v>
      </c>
      <c r="C18" s="22" t="s">
        <v>512</v>
      </c>
      <c r="D18" s="23">
        <v>7.1599999999999996E-15</v>
      </c>
      <c r="E18" s="64" t="s">
        <v>29</v>
      </c>
      <c r="F18" s="21"/>
      <c r="G18" s="21"/>
    </row>
    <row r="19" spans="1:7" x14ac:dyDescent="0.55000000000000004">
      <c r="A19" s="64"/>
      <c r="B19" s="64"/>
      <c r="C19" s="22" t="s">
        <v>513</v>
      </c>
      <c r="D19" s="8">
        <v>0.79600000000000004</v>
      </c>
      <c r="E19" s="64"/>
      <c r="F19" s="21"/>
      <c r="G19" s="21"/>
    </row>
    <row r="20" spans="1:7" x14ac:dyDescent="0.55000000000000004">
      <c r="A20" s="64"/>
      <c r="B20" s="64"/>
      <c r="C20" s="22" t="s">
        <v>514</v>
      </c>
      <c r="D20" s="23">
        <v>0.26100000000000001</v>
      </c>
      <c r="E20" s="64"/>
      <c r="F20" s="21"/>
      <c r="G20" s="21"/>
    </row>
    <row r="21" spans="1:7" x14ac:dyDescent="0.55000000000000004">
      <c r="A21" s="64"/>
      <c r="B21" s="64"/>
      <c r="C21" s="22" t="s">
        <v>515</v>
      </c>
      <c r="D21" s="23">
        <v>1.3399999999999999E-12</v>
      </c>
      <c r="E21" s="64"/>
      <c r="F21" s="21"/>
      <c r="G21" s="21"/>
    </row>
    <row r="22" spans="1:7" x14ac:dyDescent="0.55000000000000004">
      <c r="A22" s="64"/>
      <c r="B22" s="64"/>
      <c r="C22" s="22" t="s">
        <v>81</v>
      </c>
      <c r="D22" s="24">
        <v>2E-3</v>
      </c>
      <c r="E22" s="64"/>
      <c r="F22" s="21"/>
      <c r="G22" s="21"/>
    </row>
    <row r="23" spans="1:7" x14ac:dyDescent="0.55000000000000004">
      <c r="A23" s="64"/>
      <c r="B23" s="64"/>
      <c r="C23" s="22" t="s">
        <v>500</v>
      </c>
      <c r="D23" s="23" t="s">
        <v>29</v>
      </c>
      <c r="E23" s="64"/>
    </row>
    <row r="24" spans="1:7" ht="16.2" x14ac:dyDescent="0.55000000000000004">
      <c r="A24" s="64"/>
      <c r="B24" s="64"/>
      <c r="C24" s="22" t="s">
        <v>653</v>
      </c>
      <c r="D24" s="23">
        <v>5.3E-3</v>
      </c>
      <c r="E24" s="64"/>
    </row>
  </sheetData>
  <mergeCells count="15">
    <mergeCell ref="A18:A24"/>
    <mergeCell ref="B18:B24"/>
    <mergeCell ref="E18:E24"/>
    <mergeCell ref="A10:A13"/>
    <mergeCell ref="B10:B13"/>
    <mergeCell ref="E10:E13"/>
    <mergeCell ref="A14:A17"/>
    <mergeCell ref="B14:B17"/>
    <mergeCell ref="E14:E17"/>
    <mergeCell ref="A2:A5"/>
    <mergeCell ref="B2:B5"/>
    <mergeCell ref="E2:E5"/>
    <mergeCell ref="A6:A9"/>
    <mergeCell ref="B6:B9"/>
    <mergeCell ref="E6:E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65489-3BB6-46B7-A867-4A4E2C49552B}">
  <dimension ref="A1:L43"/>
  <sheetViews>
    <sheetView tabSelected="1" topLeftCell="A21" workbookViewId="0">
      <selection activeCell="G44" sqref="G44"/>
    </sheetView>
  </sheetViews>
  <sheetFormatPr defaultRowHeight="14.4" x14ac:dyDescent="0.55000000000000004"/>
  <cols>
    <col min="1" max="1" width="25.26171875" bestFit="1" customWidth="1"/>
    <col min="2" max="2" width="8.41796875" bestFit="1" customWidth="1"/>
    <col min="3" max="3" width="24.26171875" customWidth="1"/>
    <col min="4" max="4" width="18.41796875" customWidth="1"/>
    <col min="6" max="6" width="15" customWidth="1"/>
    <col min="7" max="7" width="17.578125" customWidth="1"/>
  </cols>
  <sheetData>
    <row r="1" spans="1:12" ht="16.2" x14ac:dyDescent="0.55000000000000004">
      <c r="A1" s="25" t="s">
        <v>516</v>
      </c>
      <c r="B1" s="25" t="s">
        <v>81</v>
      </c>
      <c r="C1" s="25" t="s">
        <v>80</v>
      </c>
      <c r="D1" s="25" t="s">
        <v>517</v>
      </c>
      <c r="E1" s="25" t="s">
        <v>518</v>
      </c>
      <c r="F1" s="25" t="s">
        <v>519</v>
      </c>
      <c r="G1" s="25" t="s">
        <v>520</v>
      </c>
      <c r="H1" s="25" t="s">
        <v>521</v>
      </c>
      <c r="I1" s="25" t="s">
        <v>522</v>
      </c>
      <c r="J1" s="26" t="s">
        <v>523</v>
      </c>
    </row>
    <row r="2" spans="1:12" ht="16.2" x14ac:dyDescent="0.55000000000000004">
      <c r="A2" s="66" t="s">
        <v>499</v>
      </c>
      <c r="B2" s="66" t="s">
        <v>524</v>
      </c>
      <c r="C2" s="27" t="s">
        <v>525</v>
      </c>
      <c r="D2" s="27">
        <v>50208</v>
      </c>
      <c r="E2" s="28" t="s">
        <v>526</v>
      </c>
      <c r="F2" s="29">
        <v>-3.5000000000000003E-2</v>
      </c>
      <c r="G2" s="29">
        <v>-3.1E-2</v>
      </c>
      <c r="H2" s="67">
        <f>E2-E3</f>
        <v>5.9999999999999984E-3</v>
      </c>
      <c r="I2" s="29">
        <v>0.42899999999999999</v>
      </c>
      <c r="J2" s="30" t="s">
        <v>29</v>
      </c>
      <c r="L2" t="s">
        <v>527</v>
      </c>
    </row>
    <row r="3" spans="1:12" x14ac:dyDescent="0.55000000000000004">
      <c r="A3" s="66"/>
      <c r="B3" s="66"/>
      <c r="C3" s="27" t="s">
        <v>528</v>
      </c>
      <c r="D3" s="27">
        <v>42743</v>
      </c>
      <c r="E3" s="28" t="s">
        <v>529</v>
      </c>
      <c r="F3" s="29">
        <v>-0.04</v>
      </c>
      <c r="G3" s="29">
        <v>-3.6999999999999998E-2</v>
      </c>
      <c r="H3" s="67"/>
      <c r="I3" s="29">
        <v>0.2441189148479101</v>
      </c>
      <c r="J3" s="30" t="s">
        <v>29</v>
      </c>
    </row>
    <row r="4" spans="1:12" x14ac:dyDescent="0.55000000000000004">
      <c r="A4" s="66"/>
      <c r="B4" s="66" t="s">
        <v>89</v>
      </c>
      <c r="C4" s="27" t="s">
        <v>525</v>
      </c>
      <c r="D4" s="27">
        <v>25975</v>
      </c>
      <c r="E4" s="31">
        <v>-2.661530488414434E-2</v>
      </c>
      <c r="F4" s="31">
        <v>-2.8376240193621349E-2</v>
      </c>
      <c r="G4" s="31">
        <v>-2.4854369574667329E-2</v>
      </c>
      <c r="H4" s="68">
        <f>E4-E5</f>
        <v>3.7348069850330207E-3</v>
      </c>
      <c r="I4" s="31">
        <v>0.25491677785713629</v>
      </c>
      <c r="J4" s="32" t="s">
        <v>29</v>
      </c>
    </row>
    <row r="5" spans="1:12" x14ac:dyDescent="0.55000000000000004">
      <c r="A5" s="66"/>
      <c r="B5" s="66"/>
      <c r="C5" s="27" t="s">
        <v>528</v>
      </c>
      <c r="D5" s="27">
        <v>22075</v>
      </c>
      <c r="E5" s="31">
        <v>-3.0350111869177361E-2</v>
      </c>
      <c r="F5" s="31">
        <v>-3.2210920948580288E-2</v>
      </c>
      <c r="G5" s="31">
        <v>-2.8489302789774421E-2</v>
      </c>
      <c r="H5" s="68"/>
      <c r="I5" s="31">
        <v>0.2762995260849741</v>
      </c>
      <c r="J5" s="32" t="s">
        <v>29</v>
      </c>
    </row>
    <row r="6" spans="1:12" x14ac:dyDescent="0.55000000000000004">
      <c r="A6" s="66"/>
      <c r="B6" s="66" t="s">
        <v>93</v>
      </c>
      <c r="C6" s="27" t="s">
        <v>525</v>
      </c>
      <c r="D6" s="27">
        <v>24233</v>
      </c>
      <c r="E6" s="31">
        <v>-2.3603406506197001E-2</v>
      </c>
      <c r="F6" s="31">
        <v>-2.560903489197159E-2</v>
      </c>
      <c r="G6" s="31">
        <v>-2.159777812042241E-2</v>
      </c>
      <c r="H6" s="68">
        <f>E6-E7</f>
        <v>2.4479985474361796E-3</v>
      </c>
      <c r="I6" s="31">
        <v>0.17293772518003489</v>
      </c>
      <c r="J6" s="32" t="s">
        <v>29</v>
      </c>
    </row>
    <row r="7" spans="1:12" x14ac:dyDescent="0.55000000000000004">
      <c r="A7" s="66"/>
      <c r="B7" s="66"/>
      <c r="C7" s="27" t="s">
        <v>528</v>
      </c>
      <c r="D7" s="27">
        <v>20668</v>
      </c>
      <c r="E7" s="31">
        <v>-2.6051405053633181E-2</v>
      </c>
      <c r="F7" s="31">
        <v>-2.8208291444124241E-2</v>
      </c>
      <c r="G7" s="31">
        <v>-2.3894518663142131E-2</v>
      </c>
      <c r="H7" s="68"/>
      <c r="I7" s="31">
        <v>0.1818548909826985</v>
      </c>
      <c r="J7" s="32" t="s">
        <v>29</v>
      </c>
    </row>
    <row r="8" spans="1:12" x14ac:dyDescent="0.55000000000000004">
      <c r="A8" s="66" t="s">
        <v>530</v>
      </c>
      <c r="B8" s="66" t="s">
        <v>524</v>
      </c>
      <c r="C8" s="27" t="s">
        <v>531</v>
      </c>
      <c r="D8" s="27">
        <v>47029</v>
      </c>
      <c r="E8" s="28" t="s">
        <v>532</v>
      </c>
      <c r="F8" s="29">
        <v>-4.4999999999999998E-2</v>
      </c>
      <c r="G8" s="29">
        <v>-4.1000000000000002E-2</v>
      </c>
      <c r="H8" s="67">
        <f>E8-E9</f>
        <v>8.0000000000000002E-3</v>
      </c>
      <c r="I8" s="29">
        <v>0.255</v>
      </c>
      <c r="J8" s="30" t="s">
        <v>29</v>
      </c>
    </row>
    <row r="9" spans="1:12" x14ac:dyDescent="0.55000000000000004">
      <c r="A9" s="66"/>
      <c r="B9" s="66"/>
      <c r="C9" s="27" t="s">
        <v>533</v>
      </c>
      <c r="D9" s="27">
        <v>40122</v>
      </c>
      <c r="E9" s="28" t="s">
        <v>534</v>
      </c>
      <c r="F9" s="29">
        <v>-5.2999999999999999E-2</v>
      </c>
      <c r="G9" s="29">
        <v>-4.9000000000000002E-2</v>
      </c>
      <c r="H9" s="67"/>
      <c r="I9" s="29">
        <v>0.28599999999999998</v>
      </c>
      <c r="J9" s="30" t="s">
        <v>29</v>
      </c>
    </row>
    <row r="10" spans="1:12" x14ac:dyDescent="0.55000000000000004">
      <c r="A10" s="66"/>
      <c r="B10" s="66" t="s">
        <v>89</v>
      </c>
      <c r="C10" s="27" t="s">
        <v>531</v>
      </c>
      <c r="D10" s="27">
        <v>25211</v>
      </c>
      <c r="E10" s="31">
        <v>-4.0994987364218673E-2</v>
      </c>
      <c r="F10" s="31">
        <v>-4.2820677246824493E-2</v>
      </c>
      <c r="G10" s="31">
        <v>-3.9169297481612853E-2</v>
      </c>
      <c r="H10" s="68">
        <f>E10-E11</f>
        <v>7.437740289908075E-3</v>
      </c>
      <c r="I10" s="31">
        <v>0.21984378074461799</v>
      </c>
      <c r="J10" s="32" t="s">
        <v>29</v>
      </c>
    </row>
    <row r="11" spans="1:12" x14ac:dyDescent="0.55000000000000004">
      <c r="A11" s="66"/>
      <c r="B11" s="66"/>
      <c r="C11" s="27" t="s">
        <v>533</v>
      </c>
      <c r="D11" s="27">
        <v>21410</v>
      </c>
      <c r="E11" s="31">
        <v>-4.8432727654126748E-2</v>
      </c>
      <c r="F11" s="31">
        <v>-5.0350161907078431E-2</v>
      </c>
      <c r="G11" s="31">
        <v>-4.6515293401175058E-2</v>
      </c>
      <c r="H11" s="68"/>
      <c r="I11" s="31">
        <v>0.26398709309120338</v>
      </c>
      <c r="J11" s="32" t="s">
        <v>29</v>
      </c>
    </row>
    <row r="12" spans="1:12" x14ac:dyDescent="0.55000000000000004">
      <c r="A12" s="66"/>
      <c r="B12" s="66" t="s">
        <v>93</v>
      </c>
      <c r="C12" s="27" t="s">
        <v>531</v>
      </c>
      <c r="D12" s="27">
        <v>21818</v>
      </c>
      <c r="E12" s="31">
        <v>-3.2993673970679982E-2</v>
      </c>
      <c r="F12" s="31">
        <v>-3.4712091528711062E-2</v>
      </c>
      <c r="G12" s="31">
        <v>-3.1275256412648902E-2</v>
      </c>
      <c r="H12" s="68">
        <f>E12-E13</f>
        <v>6.2252627933479798E-3</v>
      </c>
      <c r="I12" s="31">
        <v>0.12869687456445009</v>
      </c>
      <c r="J12" s="32" t="s">
        <v>29</v>
      </c>
    </row>
    <row r="13" spans="1:12" x14ac:dyDescent="0.55000000000000004">
      <c r="A13" s="66"/>
      <c r="B13" s="66"/>
      <c r="C13" s="27" t="s">
        <v>533</v>
      </c>
      <c r="D13" s="27">
        <v>18712</v>
      </c>
      <c r="E13" s="31">
        <v>-3.9218936764027962E-2</v>
      </c>
      <c r="F13" s="31">
        <v>-4.1060949889990678E-2</v>
      </c>
      <c r="G13" s="31">
        <v>-3.7376923638065253E-2</v>
      </c>
      <c r="H13" s="68"/>
      <c r="I13" s="31">
        <v>0.14980974783297729</v>
      </c>
      <c r="J13" s="32" t="s">
        <v>29</v>
      </c>
    </row>
    <row r="14" spans="1:12" x14ac:dyDescent="0.55000000000000004">
      <c r="A14" s="66" t="s">
        <v>506</v>
      </c>
      <c r="B14" s="66" t="s">
        <v>524</v>
      </c>
      <c r="C14" s="27" t="s">
        <v>535</v>
      </c>
      <c r="D14" s="27">
        <v>46939</v>
      </c>
      <c r="E14" s="29">
        <v>-3.3000000000000002E-2</v>
      </c>
      <c r="F14" s="33" t="s">
        <v>536</v>
      </c>
      <c r="G14" s="28" t="s">
        <v>537</v>
      </c>
      <c r="H14" s="67">
        <f>E14-E15</f>
        <v>4.9999999999999975E-3</v>
      </c>
      <c r="I14" s="29">
        <v>0.438</v>
      </c>
      <c r="J14" s="32" t="s">
        <v>29</v>
      </c>
    </row>
    <row r="15" spans="1:12" x14ac:dyDescent="0.55000000000000004">
      <c r="A15" s="66"/>
      <c r="B15" s="66"/>
      <c r="C15" s="27" t="s">
        <v>538</v>
      </c>
      <c r="D15" s="27">
        <v>40146</v>
      </c>
      <c r="E15" s="28" t="s">
        <v>539</v>
      </c>
      <c r="F15" s="28" t="s">
        <v>540</v>
      </c>
      <c r="G15" s="28" t="s">
        <v>539</v>
      </c>
      <c r="H15" s="67"/>
      <c r="I15" s="29">
        <v>0.45600000000000002</v>
      </c>
      <c r="J15" s="32" t="s">
        <v>29</v>
      </c>
    </row>
    <row r="16" spans="1:12" x14ac:dyDescent="0.55000000000000004">
      <c r="A16" s="66"/>
      <c r="B16" s="66" t="s">
        <v>89</v>
      </c>
      <c r="C16" s="27" t="s">
        <v>541</v>
      </c>
      <c r="D16" s="27">
        <v>25724</v>
      </c>
      <c r="E16" s="31">
        <v>-2.9804611333687728E-2</v>
      </c>
      <c r="F16" s="31">
        <v>-3.1454652453690377E-2</v>
      </c>
      <c r="G16" s="31">
        <v>-2.815457021368508E-2</v>
      </c>
      <c r="H16" s="68">
        <f>E16-E17</f>
        <v>4.4064640313554414E-3</v>
      </c>
      <c r="I16" s="31">
        <v>0.2467524124004131</v>
      </c>
      <c r="J16" s="32" t="s">
        <v>29</v>
      </c>
    </row>
    <row r="17" spans="1:12" x14ac:dyDescent="0.55000000000000004">
      <c r="A17" s="66"/>
      <c r="B17" s="66"/>
      <c r="C17" s="27" t="s">
        <v>538</v>
      </c>
      <c r="D17" s="27">
        <v>21897</v>
      </c>
      <c r="E17" s="31">
        <v>-3.421107536504317E-2</v>
      </c>
      <c r="F17" s="31">
        <v>-3.5946079485556587E-2</v>
      </c>
      <c r="G17" s="31">
        <v>-3.2476071244529753E-2</v>
      </c>
      <c r="H17" s="68"/>
      <c r="I17" s="31">
        <v>0.27661877806428148</v>
      </c>
      <c r="J17" s="32" t="s">
        <v>29</v>
      </c>
    </row>
    <row r="18" spans="1:12" x14ac:dyDescent="0.55000000000000004">
      <c r="A18" s="66"/>
      <c r="B18" s="66" t="s">
        <v>93</v>
      </c>
      <c r="C18" s="27" t="s">
        <v>535</v>
      </c>
      <c r="D18" s="27">
        <v>21215</v>
      </c>
      <c r="E18" s="31">
        <v>-3.1048649088778479E-2</v>
      </c>
      <c r="F18" s="31">
        <v>-3.2978031853105473E-2</v>
      </c>
      <c r="G18" s="31">
        <v>-2.9119266324451502E-2</v>
      </c>
      <c r="H18" s="68">
        <f>E18-E19</f>
        <v>4.2843164998058424E-3</v>
      </c>
      <c r="I18" s="31">
        <v>0.1306523433307816</v>
      </c>
      <c r="J18" s="32" t="s">
        <v>29</v>
      </c>
    </row>
    <row r="19" spans="1:12" x14ac:dyDescent="0.55000000000000004">
      <c r="A19" s="66"/>
      <c r="B19" s="66"/>
      <c r="C19" s="27" t="s">
        <v>538</v>
      </c>
      <c r="D19" s="27">
        <v>18249</v>
      </c>
      <c r="E19" s="31">
        <v>-3.5332965588584321E-2</v>
      </c>
      <c r="F19" s="31">
        <v>-3.7396087047758389E-2</v>
      </c>
      <c r="G19" s="31">
        <v>-3.3269844129410253E-2</v>
      </c>
      <c r="H19" s="68"/>
      <c r="I19" s="31">
        <v>0.13969508437877801</v>
      </c>
      <c r="J19" s="32" t="s">
        <v>29</v>
      </c>
    </row>
    <row r="20" spans="1:12" x14ac:dyDescent="0.55000000000000004">
      <c r="A20" s="66" t="s">
        <v>509</v>
      </c>
      <c r="B20" s="66" t="s">
        <v>524</v>
      </c>
      <c r="C20" s="27" t="s">
        <v>542</v>
      </c>
      <c r="D20" s="27">
        <v>45717</v>
      </c>
      <c r="E20" s="28" t="s">
        <v>543</v>
      </c>
      <c r="F20" s="29">
        <v>-5.0999999999999997E-2</v>
      </c>
      <c r="G20" s="29">
        <v>-4.7E-2</v>
      </c>
      <c r="H20" s="67">
        <f>E20-E21</f>
        <v>9.0000000000000011E-3</v>
      </c>
      <c r="I20" s="29">
        <v>0.31</v>
      </c>
      <c r="J20" s="30" t="s">
        <v>29</v>
      </c>
    </row>
    <row r="21" spans="1:12" x14ac:dyDescent="0.55000000000000004">
      <c r="A21" s="66"/>
      <c r="B21" s="66"/>
      <c r="C21" s="27" t="s">
        <v>544</v>
      </c>
      <c r="D21" s="27">
        <v>39053</v>
      </c>
      <c r="E21" s="29">
        <v>-5.8000000000000003E-2</v>
      </c>
      <c r="F21" s="29">
        <v>-6.0999999999999999E-2</v>
      </c>
      <c r="G21" s="29">
        <v>-5.2999999999999999E-2</v>
      </c>
      <c r="H21" s="67"/>
      <c r="I21" s="29">
        <v>0.33900000000000002</v>
      </c>
      <c r="J21" s="30" t="s">
        <v>29</v>
      </c>
    </row>
    <row r="22" spans="1:12" x14ac:dyDescent="0.55000000000000004">
      <c r="A22" s="66"/>
      <c r="B22" s="66" t="s">
        <v>89</v>
      </c>
      <c r="C22" s="27" t="s">
        <v>542</v>
      </c>
      <c r="D22" s="27">
        <v>25260</v>
      </c>
      <c r="E22" s="31">
        <v>-4.6432340213472062E-2</v>
      </c>
      <c r="F22" s="31">
        <v>-4.8537899704639988E-2</v>
      </c>
      <c r="G22" s="31">
        <v>-4.4326780722304122E-2</v>
      </c>
      <c r="H22" s="68">
        <f>E22-E23</f>
        <v>8.3082328432860578E-3</v>
      </c>
      <c r="I22" s="31">
        <v>0.2588961313075106</v>
      </c>
      <c r="J22" s="32" t="s">
        <v>29</v>
      </c>
    </row>
    <row r="23" spans="1:12" x14ac:dyDescent="0.55000000000000004">
      <c r="A23" s="66"/>
      <c r="B23" s="66"/>
      <c r="C23" s="27" t="s">
        <v>544</v>
      </c>
      <c r="D23" s="27">
        <v>21425</v>
      </c>
      <c r="E23" s="31">
        <v>-5.474057305675812E-2</v>
      </c>
      <c r="F23" s="31">
        <v>-5.6963650727024973E-2</v>
      </c>
      <c r="G23" s="31">
        <v>-5.2517495386491267E-2</v>
      </c>
      <c r="H23" s="68"/>
      <c r="I23" s="31">
        <v>0.29623742389317592</v>
      </c>
      <c r="J23" s="32" t="s">
        <v>29</v>
      </c>
    </row>
    <row r="24" spans="1:12" x14ac:dyDescent="0.55000000000000004">
      <c r="A24" s="66"/>
      <c r="B24" s="66" t="s">
        <v>93</v>
      </c>
      <c r="C24" s="27" t="s">
        <v>542</v>
      </c>
      <c r="D24" s="27">
        <v>20457</v>
      </c>
      <c r="E24" s="31">
        <v>-4.4484519774846548E-2</v>
      </c>
      <c r="F24" s="31">
        <v>-4.6659264246417823E-2</v>
      </c>
      <c r="G24" s="31">
        <v>-4.2309775303275267E-2</v>
      </c>
      <c r="H24" s="68">
        <f>E24-E25</f>
        <v>7.5603811994196524E-3</v>
      </c>
      <c r="I24" s="31">
        <v>0.16214220825144021</v>
      </c>
      <c r="J24" s="32" t="s">
        <v>29</v>
      </c>
    </row>
    <row r="25" spans="1:12" x14ac:dyDescent="0.55000000000000004">
      <c r="A25" s="66"/>
      <c r="B25" s="66"/>
      <c r="C25" s="27" t="s">
        <v>544</v>
      </c>
      <c r="D25" s="27">
        <v>17628</v>
      </c>
      <c r="E25" s="31">
        <v>-5.2044900974266201E-2</v>
      </c>
      <c r="F25" s="31">
        <v>-5.4341694693272283E-2</v>
      </c>
      <c r="G25" s="31">
        <v>-4.9748107255260118E-2</v>
      </c>
      <c r="H25" s="68"/>
      <c r="I25" s="31">
        <v>0.18497275839654989</v>
      </c>
      <c r="J25" s="32" t="s">
        <v>29</v>
      </c>
    </row>
    <row r="26" spans="1:12" x14ac:dyDescent="0.55000000000000004">
      <c r="A26" s="34"/>
      <c r="B26" s="34"/>
      <c r="C26" s="34"/>
      <c r="D26" s="34"/>
      <c r="E26" s="34"/>
      <c r="F26" s="70" t="s">
        <v>545</v>
      </c>
      <c r="G26" s="70"/>
      <c r="H26" s="35">
        <f>MEDIAN(H2,H8,H14,H20)</f>
        <v>6.9999999999999993E-3</v>
      </c>
      <c r="I26" s="34"/>
      <c r="J26" s="34"/>
    </row>
    <row r="27" spans="1:12" x14ac:dyDescent="0.55000000000000004">
      <c r="A27" s="36"/>
      <c r="B27" s="36"/>
      <c r="C27" s="36"/>
      <c r="D27" s="36"/>
      <c r="E27" s="36"/>
      <c r="F27" s="71" t="s">
        <v>546</v>
      </c>
      <c r="G27" s="71"/>
      <c r="H27" s="37">
        <f>MEDIAN(H4,H10,H16,H22)</f>
        <v>5.9221021606317582E-3</v>
      </c>
      <c r="I27" s="36"/>
      <c r="J27" s="36"/>
    </row>
    <row r="28" spans="1:12" x14ac:dyDescent="0.55000000000000004">
      <c r="A28" s="36"/>
      <c r="B28" s="36"/>
      <c r="C28" s="36"/>
      <c r="D28" s="36"/>
      <c r="E28" s="36"/>
      <c r="F28" s="71" t="s">
        <v>547</v>
      </c>
      <c r="G28" s="71"/>
      <c r="H28" s="37">
        <f>MEDIAN(H6,H12,H18,H24)</f>
        <v>5.2547896465769111E-3</v>
      </c>
      <c r="I28" s="36"/>
      <c r="J28" s="36"/>
    </row>
    <row r="31" spans="1:12" x14ac:dyDescent="0.55000000000000004">
      <c r="A31" s="38" t="s">
        <v>548</v>
      </c>
      <c r="B31" s="38" t="s">
        <v>81</v>
      </c>
      <c r="C31" s="2" t="s">
        <v>549</v>
      </c>
      <c r="D31" s="2" t="s">
        <v>85</v>
      </c>
      <c r="E31" s="2" t="s">
        <v>20</v>
      </c>
      <c r="J31" s="39"/>
      <c r="K31" s="39"/>
      <c r="L31" s="39"/>
    </row>
    <row r="32" spans="1:12" x14ac:dyDescent="0.55000000000000004">
      <c r="A32" s="69" t="s">
        <v>550</v>
      </c>
      <c r="B32" s="40" t="s">
        <v>524</v>
      </c>
      <c r="C32" s="1" t="s">
        <v>551</v>
      </c>
      <c r="D32" s="1" t="s">
        <v>552</v>
      </c>
      <c r="E32" s="41" t="s">
        <v>29</v>
      </c>
      <c r="G32" t="s">
        <v>553</v>
      </c>
      <c r="J32" s="39"/>
      <c r="K32" s="39"/>
      <c r="L32" s="39"/>
    </row>
    <row r="33" spans="1:12" x14ac:dyDescent="0.55000000000000004">
      <c r="A33" s="69"/>
      <c r="B33" s="40" t="s">
        <v>554</v>
      </c>
      <c r="C33" s="1" t="s">
        <v>555</v>
      </c>
      <c r="D33" s="1" t="s">
        <v>556</v>
      </c>
      <c r="E33" s="41" t="s">
        <v>29</v>
      </c>
      <c r="J33" s="42"/>
      <c r="K33" s="21"/>
      <c r="L33" s="21"/>
    </row>
    <row r="34" spans="1:12" x14ac:dyDescent="0.55000000000000004">
      <c r="A34" s="69"/>
      <c r="B34" s="40" t="s">
        <v>557</v>
      </c>
      <c r="C34" s="1" t="s">
        <v>558</v>
      </c>
      <c r="D34" s="1" t="s">
        <v>559</v>
      </c>
      <c r="E34" s="41">
        <v>1.42E-3</v>
      </c>
      <c r="J34" s="42"/>
      <c r="K34" s="21"/>
      <c r="L34" s="21"/>
    </row>
    <row r="35" spans="1:12" x14ac:dyDescent="0.55000000000000004">
      <c r="A35" s="69" t="s">
        <v>560</v>
      </c>
      <c r="B35" s="40" t="s">
        <v>524</v>
      </c>
      <c r="C35" s="1" t="s">
        <v>561</v>
      </c>
      <c r="D35" s="1" t="s">
        <v>562</v>
      </c>
      <c r="E35" s="41" t="s">
        <v>29</v>
      </c>
      <c r="J35" s="42"/>
      <c r="K35" s="21"/>
      <c r="L35" s="21"/>
    </row>
    <row r="36" spans="1:12" x14ac:dyDescent="0.55000000000000004">
      <c r="A36" s="69"/>
      <c r="B36" s="40" t="s">
        <v>554</v>
      </c>
      <c r="C36" s="1" t="s">
        <v>563</v>
      </c>
      <c r="D36" s="1" t="s">
        <v>564</v>
      </c>
      <c r="E36" s="41" t="s">
        <v>29</v>
      </c>
      <c r="J36" s="42"/>
      <c r="K36" s="21"/>
      <c r="L36" s="21"/>
    </row>
    <row r="37" spans="1:12" x14ac:dyDescent="0.55000000000000004">
      <c r="A37" s="69"/>
      <c r="B37" s="40" t="s">
        <v>557</v>
      </c>
      <c r="C37" s="1" t="s">
        <v>565</v>
      </c>
      <c r="D37" s="1" t="s">
        <v>566</v>
      </c>
      <c r="E37" s="41">
        <v>0.27200000000000002</v>
      </c>
      <c r="J37" s="42"/>
      <c r="K37" s="21"/>
      <c r="L37" s="21"/>
    </row>
    <row r="38" spans="1:12" x14ac:dyDescent="0.55000000000000004">
      <c r="A38" s="69" t="s">
        <v>567</v>
      </c>
      <c r="B38" s="40" t="s">
        <v>524</v>
      </c>
      <c r="C38" s="1" t="s">
        <v>568</v>
      </c>
      <c r="D38" s="1" t="s">
        <v>569</v>
      </c>
      <c r="E38" s="41" t="s">
        <v>29</v>
      </c>
      <c r="J38" s="42"/>
      <c r="K38" s="21"/>
      <c r="L38" s="21"/>
    </row>
    <row r="39" spans="1:12" x14ac:dyDescent="0.55000000000000004">
      <c r="A39" s="69"/>
      <c r="B39" s="40" t="s">
        <v>554</v>
      </c>
      <c r="C39" s="1" t="s">
        <v>570</v>
      </c>
      <c r="D39" s="1" t="s">
        <v>571</v>
      </c>
      <c r="E39" s="41" t="s">
        <v>29</v>
      </c>
      <c r="J39" s="42"/>
      <c r="K39" s="21"/>
      <c r="L39" s="21"/>
    </row>
    <row r="40" spans="1:12" x14ac:dyDescent="0.55000000000000004">
      <c r="A40" s="69"/>
      <c r="B40" s="40" t="s">
        <v>557</v>
      </c>
      <c r="C40" s="1" t="s">
        <v>572</v>
      </c>
      <c r="D40" s="1" t="s">
        <v>573</v>
      </c>
      <c r="E40" s="41">
        <v>2.8500000000000001E-3</v>
      </c>
      <c r="J40" s="42"/>
      <c r="K40" s="21"/>
      <c r="L40" s="21"/>
    </row>
    <row r="41" spans="1:12" x14ac:dyDescent="0.55000000000000004">
      <c r="A41" s="69" t="s">
        <v>574</v>
      </c>
      <c r="B41" s="40" t="s">
        <v>524</v>
      </c>
      <c r="C41" s="1" t="s">
        <v>575</v>
      </c>
      <c r="D41" s="1" t="s">
        <v>576</v>
      </c>
      <c r="E41" s="41" t="s">
        <v>29</v>
      </c>
      <c r="J41" s="42"/>
      <c r="K41" s="21"/>
      <c r="L41" s="21"/>
    </row>
    <row r="42" spans="1:12" x14ac:dyDescent="0.55000000000000004">
      <c r="A42" s="69"/>
      <c r="B42" s="40" t="s">
        <v>554</v>
      </c>
      <c r="C42" s="1" t="s">
        <v>577</v>
      </c>
      <c r="D42" s="1" t="s">
        <v>578</v>
      </c>
      <c r="E42" s="41" t="s">
        <v>29</v>
      </c>
      <c r="J42" s="42"/>
      <c r="K42" s="21"/>
      <c r="L42" s="21"/>
    </row>
    <row r="43" spans="1:12" x14ac:dyDescent="0.55000000000000004">
      <c r="A43" s="69"/>
      <c r="B43" s="40" t="s">
        <v>557</v>
      </c>
      <c r="C43" s="1" t="s">
        <v>579</v>
      </c>
      <c r="D43" s="1" t="s">
        <v>580</v>
      </c>
      <c r="E43" s="41">
        <v>1.65E-3</v>
      </c>
      <c r="J43" s="42"/>
      <c r="K43" s="21"/>
      <c r="L43" s="21"/>
    </row>
  </sheetData>
  <mergeCells count="35">
    <mergeCell ref="A41:A43"/>
    <mergeCell ref="F26:G26"/>
    <mergeCell ref="F27:G27"/>
    <mergeCell ref="F28:G28"/>
    <mergeCell ref="A32:A34"/>
    <mergeCell ref="A35:A37"/>
    <mergeCell ref="A38:A40"/>
    <mergeCell ref="A20:A25"/>
    <mergeCell ref="B20:B21"/>
    <mergeCell ref="H20:H21"/>
    <mergeCell ref="B22:B23"/>
    <mergeCell ref="H22:H23"/>
    <mergeCell ref="B24:B25"/>
    <mergeCell ref="H24:H25"/>
    <mergeCell ref="A14:A19"/>
    <mergeCell ref="B14:B15"/>
    <mergeCell ref="H14:H15"/>
    <mergeCell ref="B16:B17"/>
    <mergeCell ref="H16:H17"/>
    <mergeCell ref="B18:B19"/>
    <mergeCell ref="H18:H19"/>
    <mergeCell ref="A8:A13"/>
    <mergeCell ref="B8:B9"/>
    <mergeCell ref="H8:H9"/>
    <mergeCell ref="B10:B11"/>
    <mergeCell ref="H10:H11"/>
    <mergeCell ref="B12:B13"/>
    <mergeCell ref="H12:H13"/>
    <mergeCell ref="A2:A7"/>
    <mergeCell ref="B2:B3"/>
    <mergeCell ref="H2:H3"/>
    <mergeCell ref="B4:B5"/>
    <mergeCell ref="H4:H5"/>
    <mergeCell ref="B6:B7"/>
    <mergeCell ref="H6:H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9E97A-05F4-420E-B874-D64A457E3DB7}">
  <dimension ref="A1:C77"/>
  <sheetViews>
    <sheetView workbookViewId="0">
      <selection activeCell="D14" sqref="D14"/>
    </sheetView>
  </sheetViews>
  <sheetFormatPr defaultRowHeight="14.4" x14ac:dyDescent="0.55000000000000004"/>
  <cols>
    <col min="1" max="1" width="72.578125" bestFit="1" customWidth="1"/>
  </cols>
  <sheetData>
    <row r="1" spans="1:3" x14ac:dyDescent="0.55000000000000004">
      <c r="A1" s="15" t="s">
        <v>581</v>
      </c>
    </row>
    <row r="2" spans="1:3" x14ac:dyDescent="0.55000000000000004">
      <c r="A2" t="s">
        <v>582</v>
      </c>
      <c r="C2" t="s">
        <v>583</v>
      </c>
    </row>
    <row r="3" spans="1:3" x14ac:dyDescent="0.55000000000000004">
      <c r="A3" t="s">
        <v>584</v>
      </c>
    </row>
    <row r="4" spans="1:3" x14ac:dyDescent="0.55000000000000004">
      <c r="A4" t="s">
        <v>585</v>
      </c>
    </row>
    <row r="5" spans="1:3" x14ac:dyDescent="0.55000000000000004">
      <c r="A5" t="s">
        <v>586</v>
      </c>
    </row>
    <row r="6" spans="1:3" x14ac:dyDescent="0.55000000000000004">
      <c r="A6" t="s">
        <v>587</v>
      </c>
    </row>
    <row r="7" spans="1:3" x14ac:dyDescent="0.55000000000000004">
      <c r="A7" t="s">
        <v>588</v>
      </c>
    </row>
    <row r="8" spans="1:3" x14ac:dyDescent="0.55000000000000004">
      <c r="A8" t="s">
        <v>589</v>
      </c>
    </row>
    <row r="9" spans="1:3" x14ac:dyDescent="0.55000000000000004">
      <c r="A9" t="s">
        <v>590</v>
      </c>
    </row>
    <row r="10" spans="1:3" x14ac:dyDescent="0.55000000000000004">
      <c r="A10" t="s">
        <v>591</v>
      </c>
    </row>
    <row r="11" spans="1:3" x14ac:dyDescent="0.55000000000000004">
      <c r="A11" t="s">
        <v>592</v>
      </c>
    </row>
    <row r="12" spans="1:3" x14ac:dyDescent="0.55000000000000004">
      <c r="A12" t="s">
        <v>593</v>
      </c>
    </row>
    <row r="13" spans="1:3" x14ac:dyDescent="0.55000000000000004">
      <c r="A13" t="s">
        <v>594</v>
      </c>
    </row>
    <row r="14" spans="1:3" x14ac:dyDescent="0.55000000000000004">
      <c r="A14" t="s">
        <v>595</v>
      </c>
    </row>
    <row r="15" spans="1:3" x14ac:dyDescent="0.55000000000000004">
      <c r="A15" t="s">
        <v>596</v>
      </c>
    </row>
    <row r="16" spans="1:3" x14ac:dyDescent="0.55000000000000004">
      <c r="A16" t="s">
        <v>582</v>
      </c>
    </row>
    <row r="17" spans="1:1" x14ac:dyDescent="0.55000000000000004">
      <c r="A17" t="s">
        <v>597</v>
      </c>
    </row>
    <row r="18" spans="1:1" x14ac:dyDescent="0.55000000000000004">
      <c r="A18" t="s">
        <v>598</v>
      </c>
    </row>
    <row r="19" spans="1:1" x14ac:dyDescent="0.55000000000000004">
      <c r="A19" t="s">
        <v>599</v>
      </c>
    </row>
    <row r="20" spans="1:1" x14ac:dyDescent="0.55000000000000004">
      <c r="A20" t="s">
        <v>600</v>
      </c>
    </row>
    <row r="21" spans="1:1" x14ac:dyDescent="0.55000000000000004">
      <c r="A21" t="s">
        <v>601</v>
      </c>
    </row>
    <row r="22" spans="1:1" x14ac:dyDescent="0.55000000000000004">
      <c r="A22" t="s">
        <v>602</v>
      </c>
    </row>
    <row r="23" spans="1:1" x14ac:dyDescent="0.55000000000000004">
      <c r="A23" t="s">
        <v>603</v>
      </c>
    </row>
    <row r="24" spans="1:1" x14ac:dyDescent="0.55000000000000004">
      <c r="A24" t="s">
        <v>604</v>
      </c>
    </row>
    <row r="25" spans="1:1" x14ac:dyDescent="0.55000000000000004">
      <c r="A25" t="s">
        <v>605</v>
      </c>
    </row>
    <row r="26" spans="1:1" x14ac:dyDescent="0.55000000000000004">
      <c r="A26" t="s">
        <v>606</v>
      </c>
    </row>
    <row r="27" spans="1:1" x14ac:dyDescent="0.55000000000000004">
      <c r="A27" t="s">
        <v>607</v>
      </c>
    </row>
    <row r="28" spans="1:1" x14ac:dyDescent="0.55000000000000004">
      <c r="A28" t="s">
        <v>608</v>
      </c>
    </row>
    <row r="29" spans="1:1" x14ac:dyDescent="0.55000000000000004">
      <c r="A29" t="s">
        <v>609</v>
      </c>
    </row>
    <row r="30" spans="1:1" x14ac:dyDescent="0.55000000000000004">
      <c r="A30" t="s">
        <v>610</v>
      </c>
    </row>
    <row r="31" spans="1:1" x14ac:dyDescent="0.55000000000000004">
      <c r="A31" t="s">
        <v>611</v>
      </c>
    </row>
    <row r="32" spans="1:1" x14ac:dyDescent="0.55000000000000004">
      <c r="A32" t="s">
        <v>584</v>
      </c>
    </row>
    <row r="33" spans="1:1" x14ac:dyDescent="0.55000000000000004">
      <c r="A33" t="s">
        <v>612</v>
      </c>
    </row>
    <row r="34" spans="1:1" x14ac:dyDescent="0.55000000000000004">
      <c r="A34" t="s">
        <v>613</v>
      </c>
    </row>
    <row r="35" spans="1:1" x14ac:dyDescent="0.55000000000000004">
      <c r="A35" t="s">
        <v>614</v>
      </c>
    </row>
    <row r="36" spans="1:1" x14ac:dyDescent="0.55000000000000004">
      <c r="A36" t="s">
        <v>615</v>
      </c>
    </row>
    <row r="37" spans="1:1" x14ac:dyDescent="0.55000000000000004">
      <c r="A37" t="s">
        <v>616</v>
      </c>
    </row>
    <row r="38" spans="1:1" x14ac:dyDescent="0.55000000000000004">
      <c r="A38" t="s">
        <v>617</v>
      </c>
    </row>
    <row r="39" spans="1:1" x14ac:dyDescent="0.55000000000000004">
      <c r="A39" t="s">
        <v>618</v>
      </c>
    </row>
    <row r="40" spans="1:1" x14ac:dyDescent="0.55000000000000004">
      <c r="A40" t="s">
        <v>619</v>
      </c>
    </row>
    <row r="41" spans="1:1" x14ac:dyDescent="0.55000000000000004">
      <c r="A41" t="s">
        <v>620</v>
      </c>
    </row>
    <row r="42" spans="1:1" x14ac:dyDescent="0.55000000000000004">
      <c r="A42" t="s">
        <v>621</v>
      </c>
    </row>
    <row r="43" spans="1:1" x14ac:dyDescent="0.55000000000000004">
      <c r="A43" t="s">
        <v>622</v>
      </c>
    </row>
    <row r="44" spans="1:1" x14ac:dyDescent="0.55000000000000004">
      <c r="A44" t="s">
        <v>623</v>
      </c>
    </row>
    <row r="45" spans="1:1" x14ac:dyDescent="0.55000000000000004">
      <c r="A45" t="s">
        <v>624</v>
      </c>
    </row>
    <row r="46" spans="1:1" x14ac:dyDescent="0.55000000000000004">
      <c r="A46" t="s">
        <v>625</v>
      </c>
    </row>
    <row r="47" spans="1:1" x14ac:dyDescent="0.55000000000000004">
      <c r="A47" t="s">
        <v>626</v>
      </c>
    </row>
    <row r="48" spans="1:1" x14ac:dyDescent="0.55000000000000004">
      <c r="A48" t="s">
        <v>627</v>
      </c>
    </row>
    <row r="49" spans="1:1" x14ac:dyDescent="0.55000000000000004">
      <c r="A49" t="s">
        <v>628</v>
      </c>
    </row>
    <row r="50" spans="1:1" x14ac:dyDescent="0.55000000000000004">
      <c r="A50" t="s">
        <v>629</v>
      </c>
    </row>
    <row r="51" spans="1:1" x14ac:dyDescent="0.55000000000000004">
      <c r="A51" t="s">
        <v>630</v>
      </c>
    </row>
    <row r="52" spans="1:1" x14ac:dyDescent="0.55000000000000004">
      <c r="A52" t="s">
        <v>631</v>
      </c>
    </row>
    <row r="53" spans="1:1" x14ac:dyDescent="0.55000000000000004">
      <c r="A53" t="s">
        <v>628</v>
      </c>
    </row>
    <row r="54" spans="1:1" x14ac:dyDescent="0.55000000000000004">
      <c r="A54" t="s">
        <v>632</v>
      </c>
    </row>
    <row r="55" spans="1:1" x14ac:dyDescent="0.55000000000000004">
      <c r="A55" t="s">
        <v>633</v>
      </c>
    </row>
    <row r="56" spans="1:1" x14ac:dyDescent="0.55000000000000004">
      <c r="A56" t="s">
        <v>634</v>
      </c>
    </row>
    <row r="57" spans="1:1" x14ac:dyDescent="0.55000000000000004">
      <c r="A57" t="s">
        <v>610</v>
      </c>
    </row>
    <row r="58" spans="1:1" x14ac:dyDescent="0.55000000000000004">
      <c r="A58" t="s">
        <v>635</v>
      </c>
    </row>
    <row r="59" spans="1:1" x14ac:dyDescent="0.55000000000000004">
      <c r="A59" t="s">
        <v>636</v>
      </c>
    </row>
    <row r="60" spans="1:1" x14ac:dyDescent="0.55000000000000004">
      <c r="A60" t="s">
        <v>637</v>
      </c>
    </row>
    <row r="61" spans="1:1" x14ac:dyDescent="0.55000000000000004">
      <c r="A61" t="s">
        <v>638</v>
      </c>
    </row>
    <row r="62" spans="1:1" x14ac:dyDescent="0.55000000000000004">
      <c r="A62" t="s">
        <v>639</v>
      </c>
    </row>
    <row r="63" spans="1:1" x14ac:dyDescent="0.55000000000000004">
      <c r="A63" t="s">
        <v>615</v>
      </c>
    </row>
    <row r="64" spans="1:1" x14ac:dyDescent="0.55000000000000004">
      <c r="A64" t="s">
        <v>617</v>
      </c>
    </row>
    <row r="65" spans="1:1" x14ac:dyDescent="0.55000000000000004">
      <c r="A65" t="s">
        <v>640</v>
      </c>
    </row>
    <row r="66" spans="1:1" x14ac:dyDescent="0.55000000000000004">
      <c r="A66" t="s">
        <v>641</v>
      </c>
    </row>
    <row r="67" spans="1:1" x14ac:dyDescent="0.55000000000000004">
      <c r="A67" t="s">
        <v>642</v>
      </c>
    </row>
    <row r="68" spans="1:1" x14ac:dyDescent="0.55000000000000004">
      <c r="A68" t="s">
        <v>643</v>
      </c>
    </row>
    <row r="69" spans="1:1" x14ac:dyDescent="0.55000000000000004">
      <c r="A69" t="s">
        <v>644</v>
      </c>
    </row>
    <row r="70" spans="1:1" x14ac:dyDescent="0.55000000000000004">
      <c r="A70" t="s">
        <v>645</v>
      </c>
    </row>
    <row r="71" spans="1:1" x14ac:dyDescent="0.55000000000000004">
      <c r="A71" t="s">
        <v>646</v>
      </c>
    </row>
    <row r="72" spans="1:1" x14ac:dyDescent="0.55000000000000004">
      <c r="A72" t="s">
        <v>647</v>
      </c>
    </row>
    <row r="73" spans="1:1" x14ac:dyDescent="0.55000000000000004">
      <c r="A73" t="s">
        <v>648</v>
      </c>
    </row>
    <row r="74" spans="1:1" x14ac:dyDescent="0.55000000000000004">
      <c r="A74" t="s">
        <v>649</v>
      </c>
    </row>
    <row r="75" spans="1:1" x14ac:dyDescent="0.55000000000000004">
      <c r="A75" t="s">
        <v>650</v>
      </c>
    </row>
    <row r="76" spans="1:1" x14ac:dyDescent="0.55000000000000004">
      <c r="A76" t="s">
        <v>651</v>
      </c>
    </row>
    <row r="77" spans="1:1" x14ac:dyDescent="0.55000000000000004">
      <c r="A77" t="s">
        <v>652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 of contents</vt:lpstr>
      <vt:lpstr>ST 3.1, 3.2, 3.3, 3.4</vt:lpstr>
      <vt:lpstr>ST 3.5</vt:lpstr>
      <vt:lpstr>ST 3.6, 3.7</vt:lpstr>
      <vt:lpstr>ST_3.8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Samuel Sjostrom</dc:creator>
  <cp:keywords/>
  <dc:description/>
  <cp:lastModifiedBy>Samuel Sjostrom</cp:lastModifiedBy>
  <cp:revision/>
  <dcterms:created xsi:type="dcterms:W3CDTF">2026-05-01T10:51:33Z</dcterms:created>
  <dcterms:modified xsi:type="dcterms:W3CDTF">2026-07-25T11:33:49Z</dcterms:modified>
  <cp:category/>
  <cp:contentStatus/>
</cp:coreProperties>
</file>